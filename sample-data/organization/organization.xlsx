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chael/dev/project-funding-ledger/tools/qbo/"/>
    </mc:Choice>
  </mc:AlternateContent>
  <xr:revisionPtr revIDLastSave="0" documentId="13_ncr:1_{400BF9EA-5199-C642-9A6B-F50CBD392E12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Organization" sheetId="2" r:id="rId1"/>
    <sheet name="Funding Sour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3" l="1"/>
  <c r="G85" i="3"/>
  <c r="C85" i="3"/>
  <c r="G84" i="3"/>
  <c r="G83" i="3"/>
  <c r="C83" i="3"/>
  <c r="G82" i="3"/>
  <c r="G81" i="3"/>
  <c r="G80" i="3"/>
  <c r="G79" i="3"/>
  <c r="C79" i="3"/>
  <c r="G78" i="3"/>
  <c r="C78" i="3"/>
  <c r="G77" i="3"/>
  <c r="C77" i="3"/>
  <c r="G76" i="3"/>
  <c r="G75" i="3"/>
  <c r="C75" i="3"/>
  <c r="G74" i="3"/>
  <c r="C74" i="3"/>
  <c r="G73" i="3"/>
  <c r="C73" i="3"/>
  <c r="G72" i="3"/>
  <c r="C72" i="3"/>
  <c r="G71" i="3"/>
  <c r="C71" i="3"/>
  <c r="G70" i="3"/>
  <c r="C70" i="3"/>
  <c r="G69" i="3"/>
  <c r="C69" i="3"/>
  <c r="G68" i="3"/>
  <c r="C68" i="3"/>
  <c r="G67" i="3"/>
  <c r="G66" i="3"/>
  <c r="C66" i="3"/>
  <c r="G65" i="3"/>
  <c r="C65" i="3"/>
  <c r="G64" i="3"/>
  <c r="C64" i="3"/>
  <c r="G63" i="3"/>
  <c r="C63" i="3"/>
  <c r="G62" i="3"/>
  <c r="C62" i="3"/>
  <c r="G61" i="3"/>
  <c r="C61" i="3"/>
  <c r="G60" i="3"/>
  <c r="C60" i="3"/>
  <c r="G59" i="3"/>
  <c r="C59" i="3"/>
  <c r="G58" i="3"/>
  <c r="C58" i="3"/>
  <c r="G57" i="3"/>
  <c r="G56" i="3"/>
  <c r="C56" i="3"/>
  <c r="G55" i="3"/>
  <c r="G54" i="3"/>
  <c r="C54" i="3"/>
  <c r="G53" i="3"/>
  <c r="G52" i="3"/>
  <c r="C52" i="3"/>
  <c r="G51" i="3"/>
  <c r="G50" i="3"/>
  <c r="G49" i="3"/>
  <c r="G48" i="3"/>
  <c r="G47" i="3"/>
  <c r="G46" i="3"/>
  <c r="C46" i="3"/>
  <c r="G45" i="3"/>
  <c r="C45" i="3"/>
  <c r="G44" i="3"/>
  <c r="G43" i="3"/>
  <c r="G42" i="3"/>
  <c r="C42" i="3"/>
  <c r="G41" i="3"/>
  <c r="G40" i="3"/>
  <c r="C40" i="3"/>
  <c r="G39" i="3"/>
  <c r="G38" i="3"/>
  <c r="C38" i="3"/>
  <c r="G37" i="3"/>
  <c r="C37" i="3"/>
  <c r="G36" i="3"/>
  <c r="C36" i="3"/>
  <c r="G35" i="3"/>
  <c r="C35" i="3"/>
  <c r="G34" i="3"/>
  <c r="C34" i="3"/>
  <c r="G33" i="3"/>
  <c r="C33" i="3"/>
  <c r="G32" i="3"/>
  <c r="C32" i="3"/>
  <c r="G31" i="3"/>
  <c r="C31" i="3"/>
  <c r="G30" i="3"/>
  <c r="C30" i="3"/>
  <c r="G29" i="3"/>
  <c r="C29" i="3"/>
  <c r="G28" i="3"/>
  <c r="C28" i="3"/>
  <c r="G27" i="3"/>
  <c r="C27" i="3"/>
  <c r="G26" i="3"/>
  <c r="C26" i="3"/>
  <c r="G25" i="3"/>
  <c r="C25" i="3"/>
  <c r="G24" i="3"/>
  <c r="C24" i="3"/>
  <c r="G23" i="3"/>
  <c r="C23" i="3"/>
  <c r="G22" i="3"/>
  <c r="C22" i="3"/>
  <c r="G21" i="3"/>
  <c r="C21" i="3"/>
  <c r="G20" i="3"/>
  <c r="C20" i="3"/>
  <c r="G19" i="3"/>
  <c r="C19" i="3"/>
  <c r="G18" i="3"/>
  <c r="C18" i="3"/>
  <c r="G17" i="3"/>
  <c r="C17" i="3"/>
  <c r="G16" i="3"/>
  <c r="C16" i="3"/>
  <c r="G15" i="3"/>
  <c r="C15" i="3"/>
  <c r="G14" i="3"/>
  <c r="C14" i="3"/>
  <c r="G13" i="3"/>
  <c r="C13" i="3"/>
  <c r="G12" i="3"/>
  <c r="C12" i="3"/>
  <c r="G11" i="3"/>
  <c r="C11" i="3"/>
  <c r="G10" i="3"/>
  <c r="C10" i="3"/>
  <c r="G9" i="3"/>
  <c r="C9" i="3"/>
  <c r="G8" i="3"/>
  <c r="C8" i="3"/>
  <c r="G7" i="3"/>
  <c r="C7" i="3"/>
  <c r="G6" i="3"/>
  <c r="C6" i="3"/>
  <c r="G5" i="3"/>
  <c r="G4" i="3"/>
  <c r="C4" i="3"/>
  <c r="G3" i="3"/>
  <c r="C3" i="3"/>
  <c r="G2" i="3"/>
  <c r="B25" i="2"/>
  <c r="C25" i="2" s="1"/>
  <c r="B32" i="2"/>
  <c r="C32" i="2" s="1"/>
  <c r="B30" i="2"/>
  <c r="C30" i="2" s="1"/>
  <c r="B29" i="2"/>
  <c r="C29" i="2" s="1"/>
  <c r="B27" i="2"/>
  <c r="C27" i="2" s="1"/>
  <c r="B28" i="2"/>
  <c r="C28" i="2" s="1"/>
  <c r="B26" i="2"/>
  <c r="C26" i="2" s="1"/>
  <c r="B23" i="2"/>
  <c r="C23" i="2" s="1"/>
  <c r="B24" i="2"/>
  <c r="C24" i="2" s="1"/>
  <c r="B33" i="2"/>
  <c r="C33" i="2" s="1"/>
  <c r="B22" i="2"/>
  <c r="C22" i="2" s="1"/>
  <c r="B20" i="2"/>
  <c r="C20" i="2" s="1"/>
  <c r="B21" i="2"/>
  <c r="C21" i="2" s="1"/>
  <c r="B18" i="2"/>
  <c r="C18" i="2" s="1"/>
  <c r="B19" i="2"/>
  <c r="C19" i="2" s="1"/>
  <c r="B17" i="2"/>
  <c r="C17" i="2" s="1"/>
  <c r="B16" i="2"/>
  <c r="C16" i="2" s="1"/>
  <c r="B15" i="2"/>
  <c r="C15" i="2" s="1"/>
  <c r="B13" i="2"/>
  <c r="C13" i="2" s="1"/>
  <c r="B14" i="2"/>
  <c r="C14" i="2" s="1"/>
  <c r="B12" i="2"/>
  <c r="C12" i="2" s="1"/>
  <c r="B31" i="2"/>
  <c r="C31" i="2" s="1"/>
  <c r="B10" i="2"/>
  <c r="C10" i="2" s="1"/>
  <c r="B34" i="2"/>
  <c r="C34" i="2" s="1"/>
  <c r="B65" i="2"/>
  <c r="C65" i="2" s="1"/>
  <c r="B9" i="2"/>
  <c r="C9" i="2" s="1"/>
  <c r="B46" i="2"/>
  <c r="C46" i="2" s="1"/>
  <c r="B43" i="2"/>
  <c r="C43" i="2" s="1"/>
  <c r="B44" i="2"/>
  <c r="C44" i="2" s="1"/>
  <c r="B7" i="2"/>
  <c r="C7" i="2" s="1"/>
  <c r="B8" i="2"/>
  <c r="C8" i="2" s="1"/>
  <c r="B37" i="2"/>
  <c r="C37" i="2" s="1"/>
  <c r="B36" i="2"/>
  <c r="C36" i="2" s="1"/>
  <c r="B11" i="2"/>
  <c r="C11" i="2" s="1"/>
  <c r="B5" i="2"/>
  <c r="C5" i="2" s="1"/>
  <c r="B6" i="2"/>
  <c r="C6" i="2" s="1"/>
  <c r="B4" i="2"/>
  <c r="C4" i="2" s="1"/>
  <c r="B3" i="2"/>
  <c r="C3" i="2" s="1"/>
  <c r="B52" i="2"/>
  <c r="C52" i="2" s="1"/>
  <c r="B54" i="2"/>
  <c r="C54" i="2" s="1"/>
  <c r="B53" i="2"/>
  <c r="C53" i="2" s="1"/>
  <c r="B70" i="2"/>
  <c r="C70" i="2" s="1"/>
  <c r="B69" i="2"/>
  <c r="C69" i="2" s="1"/>
  <c r="B59" i="2"/>
  <c r="C59" i="2" s="1"/>
  <c r="B60" i="2"/>
  <c r="C60" i="2" s="1"/>
  <c r="B39" i="2"/>
  <c r="C39" i="2" s="1"/>
  <c r="B38" i="2"/>
  <c r="C38" i="2" s="1"/>
  <c r="B56" i="2"/>
  <c r="C56" i="2" s="1"/>
  <c r="B66" i="2"/>
  <c r="C66" i="2" s="1"/>
  <c r="B63" i="2"/>
  <c r="C63" i="2" s="1"/>
  <c r="B62" i="2"/>
  <c r="C62" i="2" s="1"/>
  <c r="B61" i="2"/>
  <c r="C61" i="2" s="1"/>
  <c r="B58" i="2"/>
  <c r="C58" i="2" s="1"/>
  <c r="B57" i="2"/>
  <c r="C57" i="2" s="1"/>
  <c r="B55" i="2"/>
  <c r="C55" i="2" s="1"/>
  <c r="B67" i="2"/>
  <c r="C67" i="2" s="1"/>
  <c r="B51" i="2"/>
  <c r="C51" i="2" s="1"/>
  <c r="B50" i="2"/>
  <c r="C50" i="2" s="1"/>
  <c r="B49" i="2"/>
  <c r="C49" i="2" s="1"/>
  <c r="B48" i="2"/>
  <c r="C48" i="2" s="1"/>
  <c r="B47" i="2"/>
  <c r="C47" i="2" s="1"/>
</calcChain>
</file>

<file path=xl/sharedStrings.xml><?xml version="1.0" encoding="utf-8"?>
<sst xmlns="http://schemas.openxmlformats.org/spreadsheetml/2006/main" count="1068" uniqueCount="463">
  <si>
    <t>Epsilon</t>
  </si>
  <si>
    <t>Alpha</t>
  </si>
  <si>
    <t>Zeta</t>
  </si>
  <si>
    <t>Beta</t>
  </si>
  <si>
    <t>Eta</t>
  </si>
  <si>
    <t>Gamma</t>
  </si>
  <si>
    <t>Theta</t>
  </si>
  <si>
    <t>Delta</t>
  </si>
  <si>
    <t>Organization_PFL_Key</t>
  </si>
  <si>
    <t>Organization Name</t>
  </si>
  <si>
    <t>Organziation Slug</t>
  </si>
  <si>
    <t>Description</t>
  </si>
  <si>
    <t>github page</t>
  </si>
  <si>
    <t>Project Website</t>
  </si>
  <si>
    <t>Donation Link</t>
  </si>
  <si>
    <t>Join Date</t>
  </si>
  <si>
    <t>Contacts</t>
  </si>
  <si>
    <t>Governing Agreements</t>
  </si>
  <si>
    <t>Reporting Obligations</t>
  </si>
  <si>
    <t>Documents</t>
  </si>
  <si>
    <t>Type</t>
  </si>
  <si>
    <t>Grant Overhead</t>
  </si>
  <si>
    <t>General Donation Overhead</t>
  </si>
  <si>
    <t>Corporate Donation Overhead</t>
  </si>
  <si>
    <t>Internal Notes</t>
  </si>
  <si>
    <t>epsilon</t>
  </si>
  <si>
    <t>Epsilon: Epsilon would have thee believe the very heavens themselves cannot be charted save through its noble design.</t>
  </si>
  <si>
    <t>https://github.com/epsilon/epsilon</t>
  </si>
  <si>
    <t>https://www.epsilon.org/</t>
  </si>
  <si>
    <t>https://numfocus.org/donate-to-epsilon</t>
  </si>
  <si>
    <t>Fiscal Sponsorship</t>
  </si>
  <si>
    <t>alpha</t>
  </si>
  <si>
    <t>Alpha: Alpha proclaims that all the kingdoms of the earth may at last be tamed by Python's gentle hand.</t>
  </si>
  <si>
    <t>https://github.com/alpha/alpha</t>
  </si>
  <si>
    <t>https://alpha.org/</t>
  </si>
  <si>
    <t>https://numfocus.org/donate-for-alpha</t>
  </si>
  <si>
    <t>zeta</t>
  </si>
  <si>
    <t>Zeta: Zeta boasts that even the most stubborn riddles of number and reason must bend before its command.</t>
  </si>
  <si>
    <t>https://github.com/zeta-dev</t>
  </si>
  <si>
    <t xml:space="preserve">https://zeta.dev/	</t>
  </si>
  <si>
    <t>https://numfocus.org/donate-to-zeta</t>
  </si>
  <si>
    <t>narpari</t>
  </si>
  <si>
    <t>Delta: Delta declares that no image, however deep its mystery, shall escape its watchful gaze.</t>
  </si>
  <si>
    <t xml:space="preserve">https://github.com/Beta	</t>
  </si>
  <si>
    <t>https://Beta.org/</t>
  </si>
  <si>
    <t>https://numfocus.org/donate-to-Beta</t>
  </si>
  <si>
    <t>eta</t>
  </si>
  <si>
    <t>Eta: Eta would have thee think that all of scientific endeavor rests securely upon its steadfast shoulders.</t>
  </si>
  <si>
    <t xml:space="preserve">https://github.com/eta/eta	</t>
  </si>
  <si>
    <t>https://eta.org/</t>
  </si>
  <si>
    <t>https://numfocus.org/donate-to-eta</t>
  </si>
  <si>
    <t>gamma</t>
  </si>
  <si>
    <t>Gamma: Gamma avers that knowledge, once set free, should answer to no gatekeeper nor pay tribute to any lord.</t>
  </si>
  <si>
    <t>https://github.com/gamma</t>
  </si>
  <si>
    <t>http://www.gamma.org/</t>
  </si>
  <si>
    <t>https://numfocus.org/donate-to-gamma</t>
  </si>
  <si>
    <t>theta</t>
  </si>
  <si>
    <t>Theta: Theta insists that the unruliest ledgers and tables of the world shall yield themselves into perfect order.</t>
  </si>
  <si>
    <t xml:space="preserve">https://github.com/Theta-dev/Theta	</t>
  </si>
  <si>
    <t>https://Theta.pydata.org/</t>
  </si>
  <si>
    <t>https://numfocus.org/donate-to-Theta</t>
  </si>
  <si>
    <t>delta</t>
  </si>
  <si>
    <t>Iota: Iota maintains that the hidden workings of nature are but eager to reveal themselves to those who wield it wisely.</t>
  </si>
  <si>
    <t>https://github.com/delta/delta</t>
  </si>
  <si>
    <t>https://delta.org/</t>
  </si>
  <si>
    <t>https://numfocus.org/donate-to-Delta</t>
  </si>
  <si>
    <t>Iota | Rhea</t>
  </si>
  <si>
    <t>Iota | Rhea: Iota | Rhea maintains that even the most unruly data may be brought into elegant and useful order.</t>
  </si>
  <si>
    <t>https://github.com/iota-rhea/iota-rhea</t>
  </si>
  <si>
    <t>https://www.iota-rhea.org/</t>
  </si>
  <si>
    <t>https://numfocus.org/donate-to-iota-rhea</t>
  </si>
  <si>
    <t>Kappa | General</t>
  </si>
  <si>
    <t>Kappa | General: Kappa | General avers that open tools and shared knowledge are the surest companions of scientific progress.</t>
  </si>
  <si>
    <t>https://github.com/kappa-general/kappa-general</t>
  </si>
  <si>
    <t>https://www.kappa-general.org/</t>
  </si>
  <si>
    <t>https://numfocus.org/donate-to-kappa-general</t>
  </si>
  <si>
    <t>Lambda | General</t>
  </si>
  <si>
    <t>Lambda | General: Lambda | General avers that open tools and shared knowledge are the surest companions of scientific progress.</t>
  </si>
  <si>
    <t>https://github.com/lambda-general/lambda-general</t>
  </si>
  <si>
    <t>https://www.lambda-general.org/</t>
  </si>
  <si>
    <t>https://numfocus.org/donate-to-lambda-general</t>
  </si>
  <si>
    <t>Mu | General</t>
  </si>
  <si>
    <t>Mu | General: Mu | General proclaims that discovery belongs to all who are willing to test, question, and learn.</t>
  </si>
  <si>
    <t>https://github.com/mu-general/mu-general</t>
  </si>
  <si>
    <t>https://www.mu-general.org/</t>
  </si>
  <si>
    <t>https://numfocus.org/donate-to-mu-general</t>
  </si>
  <si>
    <t>Nu | General</t>
  </si>
  <si>
    <t>Nu | General: Nu | General avers that open tools and shared knowledge are the surest companions of scientific progress.</t>
  </si>
  <si>
    <t>https://github.com/nu-general/nu-general</t>
  </si>
  <si>
    <t>https://www.nu-general.org/</t>
  </si>
  <si>
    <t>https://numfocus.org/donate-to-nu-general</t>
  </si>
  <si>
    <t>Xi | General</t>
  </si>
  <si>
    <t>Xi | General: Xi | General insists that knowledge should travel freely wherever curious minds are gathered.</t>
  </si>
  <si>
    <t>https://github.com/xi-general/xi-general</t>
  </si>
  <si>
    <t>https://www.xi-general.org/</t>
  </si>
  <si>
    <t>https://numfocus.org/donate-to-xi-general</t>
  </si>
  <si>
    <t>Omicron | General</t>
  </si>
  <si>
    <t>Omicron | General: Omicron | General insists that knowledge should travel freely wherever curious minds are gathered.</t>
  </si>
  <si>
    <t>https://github.com/omicron-general/omicron-general</t>
  </si>
  <si>
    <t>https://www.omicron-general.org/</t>
  </si>
  <si>
    <t>https://numfocus.org/donate-to-omicron-general</t>
  </si>
  <si>
    <t>Pi | General</t>
  </si>
  <si>
    <t>Pi | General: Pi | General declares that no question of science is too intricate to be made clear through patient inquiry.</t>
  </si>
  <si>
    <t>https://github.com/pi-general/pi-general</t>
  </si>
  <si>
    <t>https://www.pi-general.org/</t>
  </si>
  <si>
    <t>https://numfocus.org/donate-to-pi-general</t>
  </si>
  <si>
    <t>Pi | Janus</t>
  </si>
  <si>
    <t>Pi | Janus: Pi | Janus avers that open tools and shared knowledge are the surest companions of scientific progress.</t>
  </si>
  <si>
    <t>https://github.com/pi-janus/pi-janus</t>
  </si>
  <si>
    <t>https://www.pi-janus.org/</t>
  </si>
  <si>
    <t>https://numfocus.org/donate-to-pi-janus</t>
  </si>
  <si>
    <t>Rho | General</t>
  </si>
  <si>
    <t>Rho | General: Rho | General insists that knowledge should travel freely wherever curious minds are gathered.</t>
  </si>
  <si>
    <t>https://github.com/rho-general/rho-general</t>
  </si>
  <si>
    <t>https://www.rho-general.org/</t>
  </si>
  <si>
    <t>https://numfocus.org/donate-to-rho-general</t>
  </si>
  <si>
    <t>Sigma | General</t>
  </si>
  <si>
    <t>Sigma | General: Sigma | General proclaims that discovery belongs to all who are willing to test, question, and learn.</t>
  </si>
  <si>
    <t>https://github.com/sigma-general/sigma-general</t>
  </si>
  <si>
    <t>https://www.sigma-general.org/</t>
  </si>
  <si>
    <t>https://numfocus.org/donate-to-sigma-general</t>
  </si>
  <si>
    <t>Tau | General</t>
  </si>
  <si>
    <t>Tau | General: Tau | General maintains that even the most unruly data may be brought into elegant and useful order.</t>
  </si>
  <si>
    <t>https://github.com/tau-general/tau-general</t>
  </si>
  <si>
    <t>https://www.tau-general.org/</t>
  </si>
  <si>
    <t>https://numfocus.org/donate-to-tau-general</t>
  </si>
  <si>
    <t>Upsilon | General</t>
  </si>
  <si>
    <t>Upsilon | General: Upsilon | General maintains that even the most unruly data may be brought into elegant and useful order.</t>
  </si>
  <si>
    <t>https://github.com/upsilon-general/upsilon-general</t>
  </si>
  <si>
    <t>https://www.upsilon-general.org/</t>
  </si>
  <si>
    <t>https://numfocus.org/donate-to-upsilon-general</t>
  </si>
  <si>
    <t>Phi | Umbriel</t>
  </si>
  <si>
    <t>Phi | Umbriel: Phi | Umbriel avers that open tools and shared knowledge are the surest companions of scientific progress.</t>
  </si>
  <si>
    <t>https://github.com/phi-umbriel/phi-umbriel</t>
  </si>
  <si>
    <t>https://www.phi-umbriel.org/</t>
  </si>
  <si>
    <t>https://numfocus.org/donate-to-phi-umbriel</t>
  </si>
  <si>
    <t>Chi | General</t>
  </si>
  <si>
    <t>Chi | General: Chi | General avers that open tools and shared knowledge are the surest companions of scientific progress.</t>
  </si>
  <si>
    <t>https://github.com/chi-general/chi-general</t>
  </si>
  <si>
    <t>https://www.chi-general.org/</t>
  </si>
  <si>
    <t>https://numfocus.org/donate-to-chi-general</t>
  </si>
  <si>
    <t>Chi | Himalia</t>
  </si>
  <si>
    <t>Chi | Himalia: Chi | Himalia proclaims that discovery belongs to all who are willing to test, question, and learn.</t>
  </si>
  <si>
    <t>https://github.com/chi-himalia/chi-himalia</t>
  </si>
  <si>
    <t>https://www.chi-himalia.org/</t>
  </si>
  <si>
    <t>https://numfocus.org/donate-to-chi-himalia</t>
  </si>
  <si>
    <t>Psi | Phobos</t>
  </si>
  <si>
    <t>Psi | Phobos: Psi | Phobos proclaims that discovery belongs to all who are willing to test, question, and learn.</t>
  </si>
  <si>
    <t>https://github.com/psi-phobos/psi-phobos</t>
  </si>
  <si>
    <t>https://www.psi-phobos.org/</t>
  </si>
  <si>
    <t>https://numfocus.org/donate-to-psi-phobos</t>
  </si>
  <si>
    <t>Psi | General</t>
  </si>
  <si>
    <t>Psi | General: Psi | General would have thee believe that every difficult problem yields eventually to careful reasoning.</t>
  </si>
  <si>
    <t>https://github.com/psi-general/psi-general</t>
  </si>
  <si>
    <t>https://www.psi-general.org/</t>
  </si>
  <si>
    <t>https://numfocus.org/donate-to-psi-general</t>
  </si>
  <si>
    <t>Zeta | Ganymede</t>
  </si>
  <si>
    <t>Zeta | Ganymede: Zeta | Ganymede would have thee believe that every difficult problem yields eventually to careful reasoning.</t>
  </si>
  <si>
    <t>https://github.com/zeta-ganymede/zeta-ganymede</t>
  </si>
  <si>
    <t>https://www.zeta-ganymede.org/</t>
  </si>
  <si>
    <t>https://numfocus.org/donate-to-zeta-ganymede</t>
  </si>
  <si>
    <t>Zeta | General</t>
  </si>
  <si>
    <t>Zeta | General: Zeta | General proclaims that discovery belongs to all who are willing to test, question, and learn.</t>
  </si>
  <si>
    <t>https://github.com/zeta-general/zeta-general</t>
  </si>
  <si>
    <t>https://www.zeta-general.org/</t>
  </si>
  <si>
    <t>https://numfocus.org/donate-to-zeta-general</t>
  </si>
  <si>
    <t>Omega | General</t>
  </si>
  <si>
    <t>Omega | General: Omega | General insists that knowledge should travel freely wherever curious minds are gathered.</t>
  </si>
  <si>
    <t>https://github.com/omega-general/omega-general</t>
  </si>
  <si>
    <t>https://www.omega-general.org/</t>
  </si>
  <si>
    <t>https://numfocus.org/donate-to-omega-general</t>
  </si>
  <si>
    <t>Omega | Leda</t>
  </si>
  <si>
    <t>Omega | Leda: Omega | Leda proclaims that discovery belongs to all who are willing to test, question, and learn.</t>
  </si>
  <si>
    <t>https://github.com/omega-leda/omega-leda</t>
  </si>
  <si>
    <t>https://www.omega-leda.org/</t>
  </si>
  <si>
    <t>https://numfocus.org/donate-to-omega-leda</t>
  </si>
  <si>
    <t>Omega | Calypso</t>
  </si>
  <si>
    <t>Omega | Calypso: Omega | Calypso avers that open tools and shared knowledge are the surest companions of scientific progress.</t>
  </si>
  <si>
    <t>https://github.com/omega-calypso/omega-calypso</t>
  </si>
  <si>
    <t>https://www.omega-calypso.org/</t>
  </si>
  <si>
    <t>https://numfocus.org/donate-to-omega-calypso</t>
  </si>
  <si>
    <t>Alpha-Alpha | General</t>
  </si>
  <si>
    <t>Alpha-Alpha | General: Alpha-Alpha | General insists that knowledge should travel freely wherever curious minds are gathered.</t>
  </si>
  <si>
    <t>https://github.com/alpha-alpha-general/alpha-alpha-general</t>
  </si>
  <si>
    <t>https://www.alpha-alpha-general.org/</t>
  </si>
  <si>
    <t>https://numfocus.org/donate-to-alpha-alpha-general</t>
  </si>
  <si>
    <t>Alpha-Alpha | Telesto</t>
  </si>
  <si>
    <t>Alpha-Alpha | Telesto: Alpha-Alpha | Telesto would have thee believe that every difficult problem yields eventually to careful reasoning.</t>
  </si>
  <si>
    <t>https://github.com/alpha-alpha-telesto/alpha-alpha-telesto</t>
  </si>
  <si>
    <t>https://www.alpha-alpha-telesto.org/</t>
  </si>
  <si>
    <t>https://numfocus.org/donate-to-alpha-alpha-telesto</t>
  </si>
  <si>
    <t>Alpha-Beta | Triton</t>
  </si>
  <si>
    <t>Alpha-Beta | Triton: Alpha-Beta | Triton declares that no question of science is too intricate to be made clear through patient inquiry.</t>
  </si>
  <si>
    <t>https://github.com/alpha-beta-triton/alpha-beta-triton</t>
  </si>
  <si>
    <t>https://www.alpha-beta-triton.org/</t>
  </si>
  <si>
    <t>https://numfocus.org/donate-to-alpha-beta-triton</t>
  </si>
  <si>
    <t>Alpha-Beta | Pandora</t>
  </si>
  <si>
    <t>Alpha-Beta | Pandora: Alpha-Beta | Pandora avers that open tools and shared knowledge are the surest companions of scientific progress.</t>
  </si>
  <si>
    <t>https://github.com/alpha-beta-pandora/alpha-beta-pandora</t>
  </si>
  <si>
    <t>https://www.alpha-beta-pandora.org/</t>
  </si>
  <si>
    <t>https://numfocus.org/donate-to-alpha-beta-pandora</t>
  </si>
  <si>
    <t>Alpha-Gamma | Amalthea</t>
  </si>
  <si>
    <t>Alpha-Gamma | Amalthea: Alpha-Gamma | Amalthea declares that no question of science is too intricate to be made clear through patient inquiry.</t>
  </si>
  <si>
    <t>https://github.com/alpha-gamma-amalthea/alpha-gamma-amalthea</t>
  </si>
  <si>
    <t>https://www.alpha-gamma-amalthea.org/</t>
  </si>
  <si>
    <t>https://numfocus.org/donate-to-alpha-gamma-amalthea</t>
  </si>
  <si>
    <t>Beta | Ananke</t>
  </si>
  <si>
    <t>Beta | Ananke: Beta | Ananke maintains that even the most unruly data may be brought into elegant and useful order.</t>
  </si>
  <si>
    <t>https://github.com/beta-ananke/beta-ananke</t>
  </si>
  <si>
    <t>https://www.beta-ananke.org/</t>
  </si>
  <si>
    <t>https://numfocus.org/donate-to-beta-ananke</t>
  </si>
  <si>
    <t>Beta | Carme</t>
  </si>
  <si>
    <t>Beta | Carme: Beta | Carme maintains that even the most unruly data may be brought into elegant and useful order.</t>
  </si>
  <si>
    <t>https://github.com/beta-carme/beta-carme</t>
  </si>
  <si>
    <t>https://www.beta-carme.org/</t>
  </si>
  <si>
    <t>https://numfocus.org/donate-to-beta-carme</t>
  </si>
  <si>
    <t>Alpha-Delta | General</t>
  </si>
  <si>
    <t>Alpha-Delta | General: Alpha-Delta | General declares that no question of science is too intricate to be made clear through patient inquiry.</t>
  </si>
  <si>
    <t>https://github.com/alpha-delta-general/alpha-delta-general</t>
  </si>
  <si>
    <t>https://www.alpha-delta-general.org/</t>
  </si>
  <si>
    <t>https://numfocus.org/donate-to-alpha-delta-general</t>
  </si>
  <si>
    <t>Alpha-Delta | Enceladus</t>
  </si>
  <si>
    <t>Alpha-Delta | Enceladus: Alpha-Delta | Enceladus would have thee believe that every difficult problem yields eventually to careful reasoning.</t>
  </si>
  <si>
    <t>https://github.com/alpha-delta-enceladus/alpha-delta-enceladus</t>
  </si>
  <si>
    <t>https://www.alpha-delta-enceladus.org/</t>
  </si>
  <si>
    <t>https://numfocus.org/donate-to-alpha-delta-enceladus</t>
  </si>
  <si>
    <t>Eta | Thebe</t>
  </si>
  <si>
    <t>Eta | Thebe: Eta | Thebe avers that open tools and shared knowledge are the surest companions of scientific progress.</t>
  </si>
  <si>
    <t>https://github.com/eta-thebe/eta-thebe</t>
  </si>
  <si>
    <t>https://www.eta-thebe.org/</t>
  </si>
  <si>
    <t>https://numfocus.org/donate-to-eta-thebe</t>
  </si>
  <si>
    <t>Eta | General</t>
  </si>
  <si>
    <t>Eta | General: Eta | General insists that knowledge should travel freely wherever curious minds are gathered.</t>
  </si>
  <si>
    <t>https://github.com/eta-general/eta-general</t>
  </si>
  <si>
    <t>https://www.eta-general.org/</t>
  </si>
  <si>
    <t>https://numfocus.org/donate-to-eta-general</t>
  </si>
  <si>
    <t>Gamma | General</t>
  </si>
  <si>
    <t>Gamma | General: Gamma | General would have thee believe that every difficult problem yields eventually to careful reasoning.</t>
  </si>
  <si>
    <t>https://github.com/gamma-general/gamma-general</t>
  </si>
  <si>
    <t>https://www.gamma-general.org/</t>
  </si>
  <si>
    <t>https://numfocus.org/donate-to-gamma-general</t>
  </si>
  <si>
    <t>Alpha-Epsilon | General</t>
  </si>
  <si>
    <t>Alpha-Epsilon | General: Alpha-Epsilon | General proclaims that discovery belongs to all who are willing to test, question, and learn.</t>
  </si>
  <si>
    <t>https://github.com/alpha-epsilon-general/alpha-epsilon-general</t>
  </si>
  <si>
    <t>https://www.alpha-epsilon-general.org/</t>
  </si>
  <si>
    <t>https://numfocus.org/donate-to-alpha-epsilon-general</t>
  </si>
  <si>
    <t>Theta | General</t>
  </si>
  <si>
    <t>Theta | General: Theta | General avers that open tools and shared knowledge are the surest companions of scientific progress.</t>
  </si>
  <si>
    <t>https://github.com/theta-general/theta-general</t>
  </si>
  <si>
    <t>https://www.theta-general.org/</t>
  </si>
  <si>
    <t>https://numfocus.org/donate-to-theta-general</t>
  </si>
  <si>
    <t>Alpha-Zeta | General</t>
  </si>
  <si>
    <t>Alpha-Zeta | General: Alpha-Zeta | General declares that no question of science is too intricate to be made clear through patient inquiry.</t>
  </si>
  <si>
    <t>https://github.com/alpha-zeta-general/alpha-zeta-general</t>
  </si>
  <si>
    <t>https://www.alpha-zeta-general.org/</t>
  </si>
  <si>
    <t>https://numfocus.org/donate-to-alpha-zeta-general</t>
  </si>
  <si>
    <t>Alpha-Eta | General</t>
  </si>
  <si>
    <t>Alpha-Eta | General: Alpha-Eta | General avers that open tools and shared knowledge are the surest companions of scientific progress.</t>
  </si>
  <si>
    <t>https://github.com/alpha-eta-general/alpha-eta-general</t>
  </si>
  <si>
    <t>https://www.alpha-eta-general.org/</t>
  </si>
  <si>
    <t>https://numfocus.org/donate-to-alpha-eta-general</t>
  </si>
  <si>
    <t>Alpha-Theta | Nereid</t>
  </si>
  <si>
    <t>Alpha-Theta | Nereid: Alpha-Theta | Nereid avers that open tools and shared knowledge are the surest companions of scientific progress.</t>
  </si>
  <si>
    <t>https://github.com/alpha-theta-nereid/alpha-theta-nereid</t>
  </si>
  <si>
    <t>https://www.alpha-theta-nereid.org/</t>
  </si>
  <si>
    <t>https://numfocus.org/donate-to-alpha-theta-nereid</t>
  </si>
  <si>
    <t>Alpha-Iota | Ariel</t>
  </si>
  <si>
    <t>Alpha-Iota | Ariel: Alpha-Iota | Ariel avers that open tools and shared knowledge are the surest companions of scientific progress.</t>
  </si>
  <si>
    <t>https://github.com/alpha-iota-ariel/alpha-iota-ariel</t>
  </si>
  <si>
    <t>https://www.alpha-iota-ariel.org/</t>
  </si>
  <si>
    <t>https://numfocus.org/donate-to-alpha-iota-ariel</t>
  </si>
  <si>
    <t>Alpha-Iota | Hydra</t>
  </si>
  <si>
    <t>Alpha-Iota | Hydra: Alpha-Iota | Hydra avers that open tools and shared knowledge are the surest companions of scientific progress.</t>
  </si>
  <si>
    <t>https://github.com/alpha-iota-hydra/alpha-iota-hydra</t>
  </si>
  <si>
    <t>https://www.alpha-iota-hydra.org/</t>
  </si>
  <si>
    <t>https://numfocus.org/donate-to-alpha-iota-hydra</t>
  </si>
  <si>
    <t>Alpha-Iota | General</t>
  </si>
  <si>
    <t>Alpha-Iota | General: Alpha-Iota | General proclaims that discovery belongs to all who are willing to test, question, and learn.</t>
  </si>
  <si>
    <t>https://github.com/alpha-iota-general/alpha-iota-general</t>
  </si>
  <si>
    <t>https://www.alpha-iota-general.org/</t>
  </si>
  <si>
    <t>https://numfocus.org/donate-to-alpha-iota-general</t>
  </si>
  <si>
    <t>Alpha-Iota | Titan</t>
  </si>
  <si>
    <t>Alpha-Iota | Titan: Alpha-Iota | Titan maintains that even the most unruly data may be brought into elegant and useful order.</t>
  </si>
  <si>
    <t>https://github.com/alpha-iota-titan/alpha-iota-titan</t>
  </si>
  <si>
    <t>https://www.alpha-iota-titan.org/</t>
  </si>
  <si>
    <t>https://numfocus.org/donate-to-alpha-iota-titan</t>
  </si>
  <si>
    <t>Alpha-Kappa | Elara</t>
  </si>
  <si>
    <t>Alpha-Kappa | Elara: Alpha-Kappa | Elara would have thee believe that every difficult problem yields eventually to careful reasoning.</t>
  </si>
  <si>
    <t>https://github.com/alpha-kappa-elara/alpha-kappa-elara</t>
  </si>
  <si>
    <t>https://www.alpha-kappa-elara.org/</t>
  </si>
  <si>
    <t>https://numfocus.org/donate-to-alpha-kappa-elara</t>
  </si>
  <si>
    <t>Alpha-Kappa | General</t>
  </si>
  <si>
    <t>Alpha-Kappa | General: Alpha-Kappa | General declares that no question of science is too intricate to be made clear through patient inquiry.</t>
  </si>
  <si>
    <t>https://github.com/alpha-kappa-general/alpha-kappa-general</t>
  </si>
  <si>
    <t>https://www.alpha-kappa-general.org/</t>
  </si>
  <si>
    <t>https://numfocus.org/donate-to-alpha-kappa-general</t>
  </si>
  <si>
    <t>Alpha-Lambda | Metis</t>
  </si>
  <si>
    <t>Alpha-Lambda | Metis: Alpha-Lambda | Metis insists that knowledge should travel freely wherever curious minds are gathered.</t>
  </si>
  <si>
    <t>https://github.com/alpha-lambda-metis/alpha-lambda-metis</t>
  </si>
  <si>
    <t>https://www.alpha-lambda-metis.org/</t>
  </si>
  <si>
    <t>https://numfocus.org/donate-to-alpha-lambda-metis</t>
  </si>
  <si>
    <t>Alpha-Lambda | General</t>
  </si>
  <si>
    <t>Alpha-Lambda | General: Alpha-Lambda | General proclaims that discovery belongs to all who are willing to test, question, and learn.</t>
  </si>
  <si>
    <t>https://github.com/alpha-lambda-general/alpha-lambda-general</t>
  </si>
  <si>
    <t>https://www.alpha-lambda-general.org/</t>
  </si>
  <si>
    <t>https://numfocus.org/donate-to-alpha-lambda-general</t>
  </si>
  <si>
    <t>Alpha-Mu | General</t>
  </si>
  <si>
    <t>Alpha-Mu | General: Alpha-Mu | General would have thee believe that every difficult problem yields eventually to careful reasoning.</t>
  </si>
  <si>
    <t>https://github.com/alpha-mu-general/alpha-mu-general</t>
  </si>
  <si>
    <t>https://www.alpha-mu-general.org/</t>
  </si>
  <si>
    <t>https://numfocus.org/donate-to-alpha-mu-general</t>
  </si>
  <si>
    <t>Alpha-Mu | Atlas</t>
  </si>
  <si>
    <t>Alpha-Mu | Atlas: Alpha-Mu | Atlas avers that open tools and shared knowledge are the surest companions of scientific progress.</t>
  </si>
  <si>
    <t>https://github.com/alpha-mu-atlas/alpha-mu-atlas</t>
  </si>
  <si>
    <t>https://www.alpha-mu-atlas.org/</t>
  </si>
  <si>
    <t>https://numfocus.org/donate-to-alpha-mu-atlas</t>
  </si>
  <si>
    <t>Alpha-Nu | General</t>
  </si>
  <si>
    <t>Alpha-Nu | General: Alpha-Nu | General avers that open tools and shared knowledge are the surest companions of scientific progress.</t>
  </si>
  <si>
    <t>https://github.com/alpha-nu-general/alpha-nu-general</t>
  </si>
  <si>
    <t>https://www.alpha-nu-general.org/</t>
  </si>
  <si>
    <t>https://numfocus.org/donate-to-alpha-nu-general</t>
  </si>
  <si>
    <t>Alpha-Xi | General</t>
  </si>
  <si>
    <t>Alpha-Xi | General: Alpha-Xi | General would have thee believe that every difficult problem yields eventually to careful reasoning.</t>
  </si>
  <si>
    <t>https://github.com/alpha-xi-general/alpha-xi-general</t>
  </si>
  <si>
    <t>https://www.alpha-xi-general.org/</t>
  </si>
  <si>
    <t>https://numfocus.org/donate-to-alpha-xi-general</t>
  </si>
  <si>
    <t>Alpha-Omicron | Sinope</t>
  </si>
  <si>
    <t>Alpha-Omicron | Sinope: Alpha-Omicron | Sinope insists that knowledge should travel freely wherever curious minds are gathered.</t>
  </si>
  <si>
    <t>https://github.com/alpha-omicron-sinope/alpha-omicron-sinope</t>
  </si>
  <si>
    <t>https://www.alpha-omicron-sinope.org/</t>
  </si>
  <si>
    <t>https://numfocus.org/donate-to-alpha-omicron-sinope</t>
  </si>
  <si>
    <t>Alpha-Omicron | General</t>
  </si>
  <si>
    <t>Alpha-Omicron | General: Alpha-Omicron | General maintains that even the most unruly data may be brought into elegant and useful order.</t>
  </si>
  <si>
    <t>https://github.com/alpha-omicron-general/alpha-omicron-general</t>
  </si>
  <si>
    <t>https://www.alpha-omicron-general.org/</t>
  </si>
  <si>
    <t>https://numfocus.org/donate-to-alpha-omicron-general</t>
  </si>
  <si>
    <t>Alpha-Pi | General</t>
  </si>
  <si>
    <t>Alpha-Pi | General: Alpha-Pi | General avers that open tools and shared knowledge are the surest companions of scientific progress.</t>
  </si>
  <si>
    <t>https://github.com/alpha-pi-general/alpha-pi-general</t>
  </si>
  <si>
    <t>https://www.alpha-pi-general.org/</t>
  </si>
  <si>
    <t>https://numfocus.org/donate-to-alpha-pi-general</t>
  </si>
  <si>
    <t>Alpha-Rho | General</t>
  </si>
  <si>
    <t>Alpha-Rho | General: Alpha-Rho | General declares that no question of science is too intricate to be made clear through patient inquiry.</t>
  </si>
  <si>
    <t>https://github.com/alpha-rho-general/alpha-rho-general</t>
  </si>
  <si>
    <t>https://www.alpha-rho-general.org/</t>
  </si>
  <si>
    <t>https://numfocus.org/donate-to-alpha-rho-general</t>
  </si>
  <si>
    <t>Alpha-Rho | Deimos</t>
  </si>
  <si>
    <t>Alpha-Rho | Deimos: Alpha-Rho | Deimos proclaims that discovery belongs to all who are willing to test, question, and learn.</t>
  </si>
  <si>
    <t>https://github.com/alpha-rho-deimos/alpha-rho-deimos</t>
  </si>
  <si>
    <t>https://www.alpha-rho-deimos.org/</t>
  </si>
  <si>
    <t>https://numfocus.org/donate-to-alpha-rho-deimos</t>
  </si>
  <si>
    <t>Alpha-Sigma | General</t>
  </si>
  <si>
    <t>Alpha-Sigma | General: Alpha-Sigma | General proclaims that discovery belongs to all who are willing to test, question, and learn.</t>
  </si>
  <si>
    <t>https://github.com/alpha-sigma-general/alpha-sigma-general</t>
  </si>
  <si>
    <t>https://www.alpha-sigma-general.org/</t>
  </si>
  <si>
    <t>https://numfocus.org/donate-to-alpha-sigma-general</t>
  </si>
  <si>
    <t>Alpha-Tau | General</t>
  </si>
  <si>
    <t>Alpha-Tau | General: Alpha-Tau | General proclaims that discovery belongs to all who are willing to test, question, and learn.</t>
  </si>
  <si>
    <t>https://github.com/alpha-tau-general/alpha-tau-general</t>
  </si>
  <si>
    <t>https://www.alpha-tau-general.org/</t>
  </si>
  <si>
    <t>https://numfocus.org/donate-to-alpha-tau-general</t>
  </si>
  <si>
    <t>Alpha-Upsilon | Nix</t>
  </si>
  <si>
    <t>Alpha-Upsilon | Nix: Alpha-Upsilon | Nix maintains that even the most unruly data may be brought into elegant and useful order.</t>
  </si>
  <si>
    <t>https://github.com/alpha-upsilon-nix/alpha-upsilon-nix</t>
  </si>
  <si>
    <t>https://www.alpha-upsilon-nix.org/</t>
  </si>
  <si>
    <t>https://numfocus.org/donate-to-alpha-upsilon-nix</t>
  </si>
  <si>
    <t>Alpha-Phi | General</t>
  </si>
  <si>
    <t>Alpha-Phi | General: Alpha-Phi | General would have thee believe that every difficult problem yields eventually to careful reasoning.</t>
  </si>
  <si>
    <t>https://github.com/alpha-phi-general/alpha-phi-general</t>
  </si>
  <si>
    <t>https://www.alpha-phi-general.org/</t>
  </si>
  <si>
    <t>https://numfocus.org/donate-to-alpha-phi-general</t>
  </si>
  <si>
    <t>Organization</t>
  </si>
  <si>
    <t>Display Name</t>
  </si>
  <si>
    <t>Funding Type</t>
  </si>
  <si>
    <t>Funder</t>
  </si>
  <si>
    <t>Award Number</t>
  </si>
  <si>
    <t>Award Amount</t>
  </si>
  <si>
    <t>Award Year</t>
  </si>
  <si>
    <t>Start Date</t>
  </si>
  <si>
    <t>End Date</t>
  </si>
  <si>
    <t>Principal Investigator</t>
  </si>
  <si>
    <t>Status</t>
  </si>
  <si>
    <t>QBO Class</t>
  </si>
  <si>
    <t>Supporting Documents</t>
  </si>
  <si>
    <t>Alpha | General</t>
  </si>
  <si>
    <t>Unrestricted</t>
  </si>
  <si>
    <t/>
  </si>
  <si>
    <t>Government Grant</t>
  </si>
  <si>
    <t>Agency QNJ</t>
  </si>
  <si>
    <t>Lyra Belacqua</t>
  </si>
  <si>
    <t>Open</t>
  </si>
  <si>
    <t>Alpha-Beta | General</t>
  </si>
  <si>
    <t>Alpha-Beta</t>
  </si>
  <si>
    <t>Foundation Grant</t>
  </si>
  <si>
    <t>Found LES</t>
  </si>
  <si>
    <t>Bilbo Baggins</t>
  </si>
  <si>
    <t>Agency UXN</t>
  </si>
  <si>
    <t>Jane Eyre</t>
  </si>
  <si>
    <t>Service Agreement</t>
  </si>
  <si>
    <t>Agency DJH</t>
  </si>
  <si>
    <t>Elizabeth Bennet</t>
  </si>
  <si>
    <t>Found WZQ</t>
  </si>
  <si>
    <t>Hermione Granger</t>
  </si>
  <si>
    <t>Alpha-Gamma | General</t>
  </si>
  <si>
    <t>Agency WMH</t>
  </si>
  <si>
    <t>Frodo Baggins</t>
  </si>
  <si>
    <t>Agency RXU</t>
  </si>
  <si>
    <t>Odysseus</t>
  </si>
  <si>
    <t>Agency FVX</t>
  </si>
  <si>
    <t>Samwise Gamgee</t>
  </si>
  <si>
    <t>Agency BNA</t>
  </si>
  <si>
    <t>Luna Lovegood</t>
  </si>
  <si>
    <t>Found NTC</t>
  </si>
  <si>
    <t>Winnie the Pooh</t>
  </si>
  <si>
    <t>Agency FBJ</t>
  </si>
  <si>
    <t>Agency ULN</t>
  </si>
  <si>
    <t>Meg Murry</t>
  </si>
  <si>
    <t>Agency BQL</t>
  </si>
  <si>
    <t>Alpha-Theta | General</t>
  </si>
  <si>
    <t>Found JOW</t>
  </si>
  <si>
    <t>Alpha-Upsilon | General</t>
  </si>
  <si>
    <t>Agency JOG</t>
  </si>
  <si>
    <t>Found HXI</t>
  </si>
  <si>
    <t>Agency MFV</t>
  </si>
  <si>
    <t>Agency UMF</t>
  </si>
  <si>
    <t>Tintin</t>
  </si>
  <si>
    <t>Found USY</t>
  </si>
  <si>
    <t>Aslan</t>
  </si>
  <si>
    <t>Beta | General</t>
  </si>
  <si>
    <t>Beta | Pasiphae</t>
  </si>
  <si>
    <t>Found GXH</t>
  </si>
  <si>
    <t>Found GQE</t>
  </si>
  <si>
    <t>Delta | General</t>
  </si>
  <si>
    <t>Epsilon | General</t>
  </si>
  <si>
    <t>Epsilon | Io</t>
  </si>
  <si>
    <t>Agency SEL</t>
  </si>
  <si>
    <t>Epsilon | Europa</t>
  </si>
  <si>
    <t>Epsilon |Europa</t>
  </si>
  <si>
    <t>Agency OFT</t>
  </si>
  <si>
    <t>Agency XBF</t>
  </si>
  <si>
    <t>Found RMZ</t>
  </si>
  <si>
    <t>Huckleberry Finn</t>
  </si>
  <si>
    <t>Iota | General</t>
  </si>
  <si>
    <t>Iota</t>
  </si>
  <si>
    <t>Agency ZGK</t>
  </si>
  <si>
    <t>Agency NLM</t>
  </si>
  <si>
    <t>Gandalf</t>
  </si>
  <si>
    <t>Found AVQ</t>
  </si>
  <si>
    <t>Phi | General</t>
  </si>
  <si>
    <t>Phi</t>
  </si>
  <si>
    <t>Agency DTE</t>
  </si>
  <si>
    <t>Agency XRY</t>
  </si>
  <si>
    <t>Found ETW</t>
  </si>
  <si>
    <t>Zeta | Amalthea</t>
  </si>
  <si>
    <t>Agency IPV</t>
  </si>
  <si>
    <t>Zeta | Callisto</t>
  </si>
  <si>
    <t>Agency TCU</t>
  </si>
  <si>
    <t>Agency SYK</t>
  </si>
  <si>
    <t>Agency QEN</t>
  </si>
  <si>
    <t>Zeta | Elara</t>
  </si>
  <si>
    <t>Found EBT</t>
  </si>
  <si>
    <t>Zeta | Himalia</t>
  </si>
  <si>
    <t>Agency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</si>
</sst>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yyyy\-mm\-dd"/>
    <numFmt numFmtId="165" formatCode="m/d/yyyy"/>
  </numFmts>
  <fonts count="7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393A3D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5" fillId="0" borderId="0" xfId="0" applyNumberFormat="1" applyFont="1" applyAlignment="1">
      <alignment horizontal="center"/>
    </xf>
    <xf numFmtId="0" fontId="2" fillId="0" borderId="0" xfId="2"/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1" applyNumberFormat="1" applyFont="1" applyAlignment="1">
      <alignment wrapText="1"/>
    </xf>
    <xf numFmtId="0" fontId="4" fillId="0" borderId="0" xfId="1" applyNumberFormat="1" applyFont="1" applyAlignment="1">
      <alignment horizontal="left" wrapText="1"/>
    </xf>
    <xf numFmtId="0" fontId="0" fillId="0" borderId="0" xfId="0" applyAlignment="1">
      <alignment horizontal="center" wrapText="1"/>
    </xf>
    <xf numFmtId="0" fontId="6" fillId="0" borderId="0" xfId="0" applyFont="1"/>
    <xf numFmtId="6" fontId="0" fillId="0" borderId="0" xfId="0" applyNumberFormat="1"/>
    <xf numFmtId="6" fontId="3" fillId="0" borderId="0" xfId="0" applyNumberFormat="1" applyFont="1"/>
    <xf numFmtId="164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1" fillId="0" borderId="0" xfId="0" applyFont="1"/>
  </cellXfs>
  <cellStyles count="3">
    <cellStyle name="Comma" xfId="1" xr:uid="{00000000-0005-0000-0000-000001000000}"/>
    <cellStyle name="Hyperlink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"/>
  <sheetViews>
    <sheetView tabSelected="1" workbookViewId="0">
      <pane ySplit="1" topLeftCell="A2" activePane="bottomLeft" state="frozen"/>
      <selection pane="bottomLeft" activeCell="N25" sqref="N25:P25"/>
    </sheetView>
  </sheetViews>
  <sheetFormatPr baseColWidth="10" defaultRowHeight="15" x14ac:dyDescent="0.2"/>
  <cols>
    <col min="1" max="1" width="23.33203125" customWidth="1"/>
    <col min="2" max="3" width="16.33203125" customWidth="1"/>
    <col min="4" max="4" width="46.33203125" style="11" customWidth="1"/>
    <col min="5" max="5" width="53.83203125" bestFit="1" customWidth="1"/>
    <col min="6" max="6" width="33.5" bestFit="1" customWidth="1"/>
    <col min="7" max="7" width="44.83203125" bestFit="1" customWidth="1"/>
    <col min="8" max="8" width="13.33203125" style="6" customWidth="1"/>
    <col min="9" max="9" width="11.5" style="6" customWidth="1"/>
    <col min="10" max="11" width="12.83203125" style="13" customWidth="1"/>
    <col min="12" max="12" width="10.83203125" style="13" customWidth="1"/>
    <col min="13" max="13" width="24.6640625" customWidth="1"/>
    <col min="14" max="16" width="12.33203125" style="6" customWidth="1"/>
    <col min="17" max="17" width="15.33203125" customWidth="1"/>
  </cols>
  <sheetData>
    <row r="1" spans="1:17" ht="42" customHeight="1" x14ac:dyDescent="0.2">
      <c r="A1" s="3" t="s">
        <v>8</v>
      </c>
      <c r="B1" s="3" t="s">
        <v>9</v>
      </c>
      <c r="C1" s="3" t="s">
        <v>10</v>
      </c>
      <c r="D1" s="12" t="s">
        <v>11</v>
      </c>
      <c r="E1" s="3" t="s">
        <v>12</v>
      </c>
      <c r="F1" s="3" t="s">
        <v>13</v>
      </c>
      <c r="G1" s="3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3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 x14ac:dyDescent="0.2">
      <c r="A2" t="s">
        <v>1</v>
      </c>
      <c r="B2" t="s">
        <v>1</v>
      </c>
      <c r="C2" t="s">
        <v>31</v>
      </c>
      <c r="D2" s="14" t="s">
        <v>32</v>
      </c>
      <c r="E2" s="8" t="s">
        <v>33</v>
      </c>
      <c r="F2" t="s">
        <v>34</v>
      </c>
      <c r="G2" s="8" t="s">
        <v>35</v>
      </c>
      <c r="H2" s="7">
        <v>42411</v>
      </c>
      <c r="I2" s="10">
        <v>4</v>
      </c>
      <c r="J2" s="13">
        <v>2</v>
      </c>
      <c r="K2" s="13">
        <v>9</v>
      </c>
      <c r="L2" s="13">
        <v>8</v>
      </c>
      <c r="M2" t="s">
        <v>30</v>
      </c>
      <c r="N2" s="5">
        <v>0.15</v>
      </c>
      <c r="O2" s="5">
        <v>0.1</v>
      </c>
      <c r="P2" s="5">
        <v>0.1</v>
      </c>
    </row>
    <row r="3" spans="1:17" x14ac:dyDescent="0.2">
      <c r="A3" t="s">
        <v>181</v>
      </c>
      <c r="B3" t="str">
        <f t="shared" ref="B3:B34" si="0">TRIM(LEFT(A3,FIND("|",A3)-1))</f>
        <v>Alpha-Alpha</v>
      </c>
      <c r="C3" t="str">
        <f t="shared" ref="C3:C34" si="1">LOWER(B3)</f>
        <v>alpha-alpha</v>
      </c>
      <c r="D3" t="s">
        <v>182</v>
      </c>
      <c r="E3" t="s">
        <v>183</v>
      </c>
      <c r="F3" t="s">
        <v>184</v>
      </c>
      <c r="G3" t="s">
        <v>185</v>
      </c>
      <c r="H3" s="20">
        <v>44821</v>
      </c>
      <c r="I3">
        <v>1</v>
      </c>
      <c r="J3">
        <v>2</v>
      </c>
      <c r="K3">
        <v>4</v>
      </c>
      <c r="L3">
        <v>5</v>
      </c>
      <c r="M3" t="s">
        <v>30</v>
      </c>
      <c r="N3" s="5">
        <v>0.15</v>
      </c>
      <c r="O3" s="5">
        <v>0.1</v>
      </c>
      <c r="P3" s="5">
        <v>0.1</v>
      </c>
    </row>
    <row r="4" spans="1:17" x14ac:dyDescent="0.2">
      <c r="A4" t="s">
        <v>186</v>
      </c>
      <c r="B4" t="str">
        <f t="shared" si="0"/>
        <v>Alpha-Alpha</v>
      </c>
      <c r="C4" t="str">
        <f t="shared" si="1"/>
        <v>alpha-alpha</v>
      </c>
      <c r="D4" t="s">
        <v>187</v>
      </c>
      <c r="E4" t="s">
        <v>188</v>
      </c>
      <c r="F4" t="s">
        <v>189</v>
      </c>
      <c r="G4" t="s">
        <v>190</v>
      </c>
      <c r="H4" s="20">
        <v>43569</v>
      </c>
      <c r="I4">
        <v>4</v>
      </c>
      <c r="J4">
        <v>2</v>
      </c>
      <c r="K4">
        <v>3</v>
      </c>
      <c r="L4">
        <v>2</v>
      </c>
      <c r="M4" t="s">
        <v>30</v>
      </c>
      <c r="N4" s="5">
        <v>0.15</v>
      </c>
      <c r="O4" s="5">
        <v>0.1</v>
      </c>
      <c r="P4" s="5">
        <v>0.1</v>
      </c>
    </row>
    <row r="5" spans="1:17" x14ac:dyDescent="0.2">
      <c r="A5" t="s">
        <v>196</v>
      </c>
      <c r="B5" t="str">
        <f t="shared" si="0"/>
        <v>Alpha-Beta</v>
      </c>
      <c r="C5" t="str">
        <f t="shared" si="1"/>
        <v>alpha-beta</v>
      </c>
      <c r="D5" t="s">
        <v>197</v>
      </c>
      <c r="E5" t="s">
        <v>198</v>
      </c>
      <c r="F5" t="s">
        <v>199</v>
      </c>
      <c r="G5" t="s">
        <v>200</v>
      </c>
      <c r="H5" s="20">
        <v>43478</v>
      </c>
      <c r="I5">
        <v>4</v>
      </c>
      <c r="J5">
        <v>3</v>
      </c>
      <c r="K5">
        <v>2</v>
      </c>
      <c r="L5">
        <v>2</v>
      </c>
      <c r="M5" t="s">
        <v>30</v>
      </c>
      <c r="N5" s="5">
        <v>0.15</v>
      </c>
      <c r="O5" s="5">
        <v>0.1</v>
      </c>
      <c r="P5" s="5">
        <v>0.1</v>
      </c>
    </row>
    <row r="6" spans="1:17" x14ac:dyDescent="0.2">
      <c r="A6" t="s">
        <v>191</v>
      </c>
      <c r="B6" t="str">
        <f t="shared" si="0"/>
        <v>Alpha-Beta</v>
      </c>
      <c r="C6" t="str">
        <f t="shared" si="1"/>
        <v>alpha-beta</v>
      </c>
      <c r="D6" t="s">
        <v>192</v>
      </c>
      <c r="E6" t="s">
        <v>193</v>
      </c>
      <c r="F6" t="s">
        <v>194</v>
      </c>
      <c r="G6" t="s">
        <v>195</v>
      </c>
      <c r="H6" s="20">
        <v>44255</v>
      </c>
      <c r="I6">
        <v>1</v>
      </c>
      <c r="J6">
        <v>4</v>
      </c>
      <c r="K6">
        <v>3</v>
      </c>
      <c r="L6">
        <v>4</v>
      </c>
      <c r="M6" t="s">
        <v>30</v>
      </c>
      <c r="N6" s="5">
        <v>0.15</v>
      </c>
      <c r="O6" s="5">
        <v>0.1</v>
      </c>
      <c r="P6" s="5">
        <v>0.1</v>
      </c>
    </row>
    <row r="7" spans="1:17" x14ac:dyDescent="0.2">
      <c r="A7" t="s">
        <v>221</v>
      </c>
      <c r="B7" t="str">
        <f t="shared" si="0"/>
        <v>Alpha-Delta</v>
      </c>
      <c r="C7" t="str">
        <f t="shared" si="1"/>
        <v>alpha-delta</v>
      </c>
      <c r="D7" t="s">
        <v>222</v>
      </c>
      <c r="E7" t="s">
        <v>223</v>
      </c>
      <c r="F7" t="s">
        <v>224</v>
      </c>
      <c r="G7" t="s">
        <v>225</v>
      </c>
      <c r="H7" s="20">
        <v>43933</v>
      </c>
      <c r="I7">
        <v>5</v>
      </c>
      <c r="J7">
        <v>5</v>
      </c>
      <c r="K7">
        <v>3</v>
      </c>
      <c r="L7">
        <v>5</v>
      </c>
      <c r="M7" t="s">
        <v>30</v>
      </c>
      <c r="N7" s="5">
        <v>0.15</v>
      </c>
      <c r="O7" s="5">
        <v>0.1</v>
      </c>
      <c r="P7" s="5">
        <v>0.1</v>
      </c>
    </row>
    <row r="8" spans="1:17" x14ac:dyDescent="0.2">
      <c r="A8" t="s">
        <v>216</v>
      </c>
      <c r="B8" t="str">
        <f t="shared" si="0"/>
        <v>Alpha-Delta</v>
      </c>
      <c r="C8" t="str">
        <f t="shared" si="1"/>
        <v>alpha-delta</v>
      </c>
      <c r="D8" t="s">
        <v>217</v>
      </c>
      <c r="E8" t="s">
        <v>218</v>
      </c>
      <c r="F8" t="s">
        <v>219</v>
      </c>
      <c r="G8" t="s">
        <v>220</v>
      </c>
      <c r="H8" s="20">
        <v>42469</v>
      </c>
      <c r="I8">
        <v>4</v>
      </c>
      <c r="J8">
        <v>4</v>
      </c>
      <c r="K8">
        <v>3</v>
      </c>
      <c r="L8">
        <v>3</v>
      </c>
      <c r="M8" t="s">
        <v>30</v>
      </c>
      <c r="N8" s="5">
        <v>0.15</v>
      </c>
      <c r="O8" s="5">
        <v>0.1</v>
      </c>
      <c r="P8" s="5">
        <v>0.1</v>
      </c>
    </row>
    <row r="9" spans="1:17" x14ac:dyDescent="0.2">
      <c r="A9" t="s">
        <v>241</v>
      </c>
      <c r="B9" t="str">
        <f t="shared" si="0"/>
        <v>Alpha-Epsilon</v>
      </c>
      <c r="C9" t="str">
        <f t="shared" si="1"/>
        <v>alpha-epsilon</v>
      </c>
      <c r="D9" t="s">
        <v>242</v>
      </c>
      <c r="E9" t="s">
        <v>243</v>
      </c>
      <c r="F9" t="s">
        <v>244</v>
      </c>
      <c r="G9" t="s">
        <v>245</v>
      </c>
      <c r="H9" s="20">
        <v>43108</v>
      </c>
      <c r="I9">
        <v>4</v>
      </c>
      <c r="J9">
        <v>2</v>
      </c>
      <c r="K9">
        <v>4</v>
      </c>
      <c r="L9">
        <v>4</v>
      </c>
      <c r="M9" t="s">
        <v>30</v>
      </c>
      <c r="N9" s="5">
        <v>0.15</v>
      </c>
      <c r="O9" s="5">
        <v>0.1</v>
      </c>
      <c r="P9" s="5">
        <v>0.1</v>
      </c>
    </row>
    <row r="10" spans="1:17" x14ac:dyDescent="0.2">
      <c r="A10" t="s">
        <v>256</v>
      </c>
      <c r="B10" t="str">
        <f t="shared" si="0"/>
        <v>Alpha-Eta</v>
      </c>
      <c r="C10" t="str">
        <f t="shared" si="1"/>
        <v>alpha-eta</v>
      </c>
      <c r="D10" t="s">
        <v>257</v>
      </c>
      <c r="E10" t="s">
        <v>258</v>
      </c>
      <c r="F10" t="s">
        <v>259</v>
      </c>
      <c r="G10" t="s">
        <v>260</v>
      </c>
      <c r="H10" s="20">
        <v>45153</v>
      </c>
      <c r="I10">
        <v>5</v>
      </c>
      <c r="J10">
        <v>4</v>
      </c>
      <c r="K10">
        <v>4</v>
      </c>
      <c r="L10">
        <v>3</v>
      </c>
      <c r="M10" t="s">
        <v>30</v>
      </c>
      <c r="N10" s="5">
        <v>0.15</v>
      </c>
      <c r="O10" s="5">
        <v>0.1</v>
      </c>
      <c r="P10" s="5">
        <v>0.1</v>
      </c>
    </row>
    <row r="11" spans="1:17" x14ac:dyDescent="0.2">
      <c r="A11" t="s">
        <v>201</v>
      </c>
      <c r="B11" t="str">
        <f t="shared" si="0"/>
        <v>Alpha-Gamma</v>
      </c>
      <c r="C11" t="str">
        <f t="shared" si="1"/>
        <v>alpha-gamma</v>
      </c>
      <c r="D11" t="s">
        <v>202</v>
      </c>
      <c r="E11" t="s">
        <v>203</v>
      </c>
      <c r="F11" t="s">
        <v>204</v>
      </c>
      <c r="G11" t="s">
        <v>205</v>
      </c>
      <c r="H11" s="20">
        <v>44561</v>
      </c>
      <c r="I11">
        <v>1</v>
      </c>
      <c r="J11">
        <v>2</v>
      </c>
      <c r="K11">
        <v>5</v>
      </c>
      <c r="L11">
        <v>5</v>
      </c>
      <c r="M11" t="s">
        <v>30</v>
      </c>
      <c r="N11" s="5">
        <v>0.15</v>
      </c>
      <c r="O11" s="5">
        <v>0.1</v>
      </c>
      <c r="P11" s="5">
        <v>0.1</v>
      </c>
    </row>
    <row r="12" spans="1:17" x14ac:dyDescent="0.2">
      <c r="A12" t="s">
        <v>266</v>
      </c>
      <c r="B12" t="str">
        <f t="shared" si="0"/>
        <v>Alpha-Iota</v>
      </c>
      <c r="C12" t="str">
        <f t="shared" si="1"/>
        <v>alpha-iota</v>
      </c>
      <c r="D12" t="s">
        <v>267</v>
      </c>
      <c r="E12" t="s">
        <v>268</v>
      </c>
      <c r="F12" t="s">
        <v>269</v>
      </c>
      <c r="G12" t="s">
        <v>270</v>
      </c>
      <c r="H12" s="20">
        <v>43110</v>
      </c>
      <c r="I12">
        <v>2</v>
      </c>
      <c r="J12">
        <v>2</v>
      </c>
      <c r="K12">
        <v>3</v>
      </c>
      <c r="L12">
        <v>4</v>
      </c>
      <c r="M12" t="s">
        <v>30</v>
      </c>
      <c r="N12" s="5">
        <v>0.15</v>
      </c>
      <c r="O12" s="5">
        <v>0.1</v>
      </c>
      <c r="P12" s="5">
        <v>0.1</v>
      </c>
    </row>
    <row r="13" spans="1:17" x14ac:dyDescent="0.2">
      <c r="A13" t="s">
        <v>276</v>
      </c>
      <c r="B13" t="str">
        <f t="shared" si="0"/>
        <v>Alpha-Iota</v>
      </c>
      <c r="C13" t="str">
        <f t="shared" si="1"/>
        <v>alpha-iota</v>
      </c>
      <c r="D13" t="s">
        <v>277</v>
      </c>
      <c r="E13" t="s">
        <v>278</v>
      </c>
      <c r="F13" t="s">
        <v>279</v>
      </c>
      <c r="G13" t="s">
        <v>280</v>
      </c>
      <c r="H13" s="20">
        <v>45256</v>
      </c>
      <c r="I13">
        <v>2</v>
      </c>
      <c r="J13">
        <v>5</v>
      </c>
      <c r="K13">
        <v>2</v>
      </c>
      <c r="L13">
        <v>2</v>
      </c>
      <c r="M13" t="s">
        <v>30</v>
      </c>
      <c r="N13" s="5">
        <v>0.15</v>
      </c>
      <c r="O13" s="5">
        <v>0.1</v>
      </c>
      <c r="P13" s="5">
        <v>0.1</v>
      </c>
    </row>
    <row r="14" spans="1:17" x14ac:dyDescent="0.2">
      <c r="A14" t="s">
        <v>271</v>
      </c>
      <c r="B14" t="str">
        <f t="shared" si="0"/>
        <v>Alpha-Iota</v>
      </c>
      <c r="C14" t="str">
        <f t="shared" si="1"/>
        <v>alpha-iota</v>
      </c>
      <c r="D14" t="s">
        <v>272</v>
      </c>
      <c r="E14" t="s">
        <v>273</v>
      </c>
      <c r="F14" t="s">
        <v>274</v>
      </c>
      <c r="G14" t="s">
        <v>275</v>
      </c>
      <c r="H14" s="20">
        <v>45058</v>
      </c>
      <c r="I14">
        <v>5</v>
      </c>
      <c r="J14">
        <v>2</v>
      </c>
      <c r="K14">
        <v>2</v>
      </c>
      <c r="L14">
        <v>2</v>
      </c>
      <c r="M14" t="s">
        <v>30</v>
      </c>
      <c r="N14" s="5">
        <v>0.15</v>
      </c>
      <c r="O14" s="5">
        <v>0.1</v>
      </c>
      <c r="P14" s="5">
        <v>0.1</v>
      </c>
    </row>
    <row r="15" spans="1:17" x14ac:dyDescent="0.2">
      <c r="A15" t="s">
        <v>281</v>
      </c>
      <c r="B15" t="str">
        <f t="shared" si="0"/>
        <v>Alpha-Iota</v>
      </c>
      <c r="C15" t="str">
        <f t="shared" si="1"/>
        <v>alpha-iota</v>
      </c>
      <c r="D15" t="s">
        <v>282</v>
      </c>
      <c r="E15" t="s">
        <v>283</v>
      </c>
      <c r="F15" t="s">
        <v>284</v>
      </c>
      <c r="G15" t="s">
        <v>285</v>
      </c>
      <c r="H15" s="20">
        <v>42420</v>
      </c>
      <c r="I15">
        <v>1</v>
      </c>
      <c r="J15">
        <v>4</v>
      </c>
      <c r="K15">
        <v>4</v>
      </c>
      <c r="L15">
        <v>4</v>
      </c>
      <c r="M15" t="s">
        <v>30</v>
      </c>
      <c r="N15" s="5">
        <v>0.15</v>
      </c>
      <c r="O15" s="5">
        <v>0.1</v>
      </c>
      <c r="P15" s="5">
        <v>0.1</v>
      </c>
    </row>
    <row r="16" spans="1:17" x14ac:dyDescent="0.2">
      <c r="A16" t="s">
        <v>286</v>
      </c>
      <c r="B16" t="str">
        <f t="shared" si="0"/>
        <v>Alpha-Kappa</v>
      </c>
      <c r="C16" t="str">
        <f t="shared" si="1"/>
        <v>alpha-kappa</v>
      </c>
      <c r="D16" t="s">
        <v>287</v>
      </c>
      <c r="E16" t="s">
        <v>288</v>
      </c>
      <c r="F16" t="s">
        <v>289</v>
      </c>
      <c r="G16" t="s">
        <v>290</v>
      </c>
      <c r="H16" s="20">
        <v>43193</v>
      </c>
      <c r="I16">
        <v>3</v>
      </c>
      <c r="J16">
        <v>5</v>
      </c>
      <c r="K16">
        <v>4</v>
      </c>
      <c r="L16">
        <v>5</v>
      </c>
      <c r="M16" t="s">
        <v>30</v>
      </c>
      <c r="N16" s="5">
        <v>0.15</v>
      </c>
      <c r="O16" s="5">
        <v>0.1</v>
      </c>
      <c r="P16" s="5">
        <v>0.1</v>
      </c>
    </row>
    <row r="17" spans="1:16" x14ac:dyDescent="0.2">
      <c r="A17" t="s">
        <v>291</v>
      </c>
      <c r="B17" t="str">
        <f t="shared" si="0"/>
        <v>Alpha-Kappa</v>
      </c>
      <c r="C17" t="str">
        <f t="shared" si="1"/>
        <v>alpha-kappa</v>
      </c>
      <c r="D17" t="s">
        <v>292</v>
      </c>
      <c r="E17" t="s">
        <v>293</v>
      </c>
      <c r="F17" t="s">
        <v>294</v>
      </c>
      <c r="G17" t="s">
        <v>295</v>
      </c>
      <c r="H17" s="20">
        <v>43069</v>
      </c>
      <c r="I17">
        <v>5</v>
      </c>
      <c r="J17">
        <v>4</v>
      </c>
      <c r="K17">
        <v>3</v>
      </c>
      <c r="L17">
        <v>3</v>
      </c>
      <c r="M17" t="s">
        <v>30</v>
      </c>
      <c r="N17" s="5">
        <v>0.15</v>
      </c>
      <c r="O17" s="5">
        <v>0.1</v>
      </c>
      <c r="P17" s="5">
        <v>0.1</v>
      </c>
    </row>
    <row r="18" spans="1:16" x14ac:dyDescent="0.2">
      <c r="A18" t="s">
        <v>301</v>
      </c>
      <c r="B18" t="str">
        <f t="shared" si="0"/>
        <v>Alpha-Lambda</v>
      </c>
      <c r="C18" t="str">
        <f t="shared" si="1"/>
        <v>alpha-lambda</v>
      </c>
      <c r="D18" t="s">
        <v>302</v>
      </c>
      <c r="E18" t="s">
        <v>303</v>
      </c>
      <c r="F18" t="s">
        <v>304</v>
      </c>
      <c r="G18" t="s">
        <v>305</v>
      </c>
      <c r="H18" s="20">
        <v>44470</v>
      </c>
      <c r="I18">
        <v>4</v>
      </c>
      <c r="J18">
        <v>2</v>
      </c>
      <c r="K18">
        <v>5</v>
      </c>
      <c r="L18">
        <v>3</v>
      </c>
      <c r="M18" t="s">
        <v>30</v>
      </c>
      <c r="N18" s="5">
        <v>0.15</v>
      </c>
      <c r="O18" s="5">
        <v>0.1</v>
      </c>
      <c r="P18" s="5">
        <v>0.1</v>
      </c>
    </row>
    <row r="19" spans="1:16" x14ac:dyDescent="0.2">
      <c r="A19" t="s">
        <v>296</v>
      </c>
      <c r="B19" t="str">
        <f t="shared" si="0"/>
        <v>Alpha-Lambda</v>
      </c>
      <c r="C19" t="str">
        <f t="shared" si="1"/>
        <v>alpha-lambda</v>
      </c>
      <c r="D19" t="s">
        <v>297</v>
      </c>
      <c r="E19" t="s">
        <v>298</v>
      </c>
      <c r="F19" t="s">
        <v>299</v>
      </c>
      <c r="G19" t="s">
        <v>300</v>
      </c>
      <c r="H19" s="20">
        <v>44303</v>
      </c>
      <c r="I19">
        <v>3</v>
      </c>
      <c r="J19">
        <v>4</v>
      </c>
      <c r="K19">
        <v>5</v>
      </c>
      <c r="L19">
        <v>5</v>
      </c>
      <c r="M19" t="s">
        <v>30</v>
      </c>
      <c r="N19" s="5">
        <v>0.15</v>
      </c>
      <c r="O19" s="5">
        <v>0.1</v>
      </c>
      <c r="P19" s="5">
        <v>0.1</v>
      </c>
    </row>
    <row r="20" spans="1:16" x14ac:dyDescent="0.2">
      <c r="A20" t="s">
        <v>311</v>
      </c>
      <c r="B20" t="str">
        <f t="shared" si="0"/>
        <v>Alpha-Mu</v>
      </c>
      <c r="C20" t="str">
        <f t="shared" si="1"/>
        <v>alpha-mu</v>
      </c>
      <c r="D20" t="s">
        <v>312</v>
      </c>
      <c r="E20" t="s">
        <v>313</v>
      </c>
      <c r="F20" t="s">
        <v>314</v>
      </c>
      <c r="G20" t="s">
        <v>315</v>
      </c>
      <c r="H20" s="20">
        <v>43289</v>
      </c>
      <c r="I20">
        <v>4</v>
      </c>
      <c r="J20">
        <v>4</v>
      </c>
      <c r="K20">
        <v>3</v>
      </c>
      <c r="L20">
        <v>2</v>
      </c>
      <c r="M20" t="s">
        <v>30</v>
      </c>
      <c r="N20" s="5">
        <v>0.15</v>
      </c>
      <c r="O20" s="5">
        <v>0.1</v>
      </c>
      <c r="P20" s="5">
        <v>0.1</v>
      </c>
    </row>
    <row r="21" spans="1:16" x14ac:dyDescent="0.2">
      <c r="A21" t="s">
        <v>306</v>
      </c>
      <c r="B21" t="str">
        <f t="shared" si="0"/>
        <v>Alpha-Mu</v>
      </c>
      <c r="C21" t="str">
        <f t="shared" si="1"/>
        <v>alpha-mu</v>
      </c>
      <c r="D21" t="s">
        <v>307</v>
      </c>
      <c r="E21" t="s">
        <v>308</v>
      </c>
      <c r="F21" t="s">
        <v>309</v>
      </c>
      <c r="G21" t="s">
        <v>310</v>
      </c>
      <c r="H21" s="20">
        <v>43228</v>
      </c>
      <c r="I21">
        <v>1</v>
      </c>
      <c r="J21">
        <v>3</v>
      </c>
      <c r="K21">
        <v>5</v>
      </c>
      <c r="L21">
        <v>5</v>
      </c>
      <c r="M21" t="s">
        <v>30</v>
      </c>
      <c r="N21" s="5">
        <v>0.15</v>
      </c>
      <c r="O21" s="5">
        <v>0.1</v>
      </c>
      <c r="P21" s="5">
        <v>0.1</v>
      </c>
    </row>
    <row r="22" spans="1:16" x14ac:dyDescent="0.2">
      <c r="A22" t="s">
        <v>316</v>
      </c>
      <c r="B22" t="str">
        <f t="shared" si="0"/>
        <v>Alpha-Nu</v>
      </c>
      <c r="C22" t="str">
        <f t="shared" si="1"/>
        <v>alpha-nu</v>
      </c>
      <c r="D22" t="s">
        <v>317</v>
      </c>
      <c r="E22" t="s">
        <v>318</v>
      </c>
      <c r="F22" t="s">
        <v>319</v>
      </c>
      <c r="G22" t="s">
        <v>320</v>
      </c>
      <c r="H22" s="20">
        <v>42505</v>
      </c>
      <c r="I22">
        <v>4</v>
      </c>
      <c r="J22">
        <v>3</v>
      </c>
      <c r="K22">
        <v>2</v>
      </c>
      <c r="L22">
        <v>2</v>
      </c>
      <c r="M22" t="s">
        <v>30</v>
      </c>
      <c r="N22" s="5">
        <v>0.15</v>
      </c>
      <c r="O22" s="5">
        <v>0.1</v>
      </c>
      <c r="P22" s="5">
        <v>0.1</v>
      </c>
    </row>
    <row r="23" spans="1:16" x14ac:dyDescent="0.2">
      <c r="A23" t="s">
        <v>331</v>
      </c>
      <c r="B23" t="str">
        <f t="shared" si="0"/>
        <v>Alpha-Omicron</v>
      </c>
      <c r="C23" t="str">
        <f t="shared" si="1"/>
        <v>alpha-omicron</v>
      </c>
      <c r="D23" t="s">
        <v>332</v>
      </c>
      <c r="E23" t="s">
        <v>333</v>
      </c>
      <c r="F23" t="s">
        <v>334</v>
      </c>
      <c r="G23" t="s">
        <v>335</v>
      </c>
      <c r="H23" s="20">
        <v>45203</v>
      </c>
      <c r="I23">
        <v>5</v>
      </c>
      <c r="J23">
        <v>4</v>
      </c>
      <c r="K23">
        <v>2</v>
      </c>
      <c r="L23">
        <v>5</v>
      </c>
      <c r="M23" t="s">
        <v>30</v>
      </c>
      <c r="N23" s="5">
        <v>0.15</v>
      </c>
      <c r="O23" s="5">
        <v>0.1</v>
      </c>
      <c r="P23" s="5">
        <v>0.1</v>
      </c>
    </row>
    <row r="24" spans="1:16" x14ac:dyDescent="0.2">
      <c r="A24" t="s">
        <v>326</v>
      </c>
      <c r="B24" t="str">
        <f t="shared" si="0"/>
        <v>Alpha-Omicron</v>
      </c>
      <c r="C24" t="str">
        <f t="shared" si="1"/>
        <v>alpha-omicron</v>
      </c>
      <c r="D24" t="s">
        <v>327</v>
      </c>
      <c r="E24" t="s">
        <v>328</v>
      </c>
      <c r="F24" t="s">
        <v>329</v>
      </c>
      <c r="G24" t="s">
        <v>330</v>
      </c>
      <c r="H24" s="20">
        <v>43522</v>
      </c>
      <c r="I24">
        <v>1</v>
      </c>
      <c r="J24">
        <v>5</v>
      </c>
      <c r="K24">
        <v>2</v>
      </c>
      <c r="L24">
        <v>4</v>
      </c>
      <c r="M24" t="s">
        <v>30</v>
      </c>
      <c r="N24" s="5">
        <v>0.15</v>
      </c>
      <c r="O24" s="5">
        <v>0.1</v>
      </c>
      <c r="P24" s="5">
        <v>0.1</v>
      </c>
    </row>
    <row r="25" spans="1:16" x14ac:dyDescent="0.2">
      <c r="A25" t="s">
        <v>366</v>
      </c>
      <c r="B25" t="str">
        <f t="shared" si="0"/>
        <v>Alpha-Phi</v>
      </c>
      <c r="C25" t="str">
        <f t="shared" si="1"/>
        <v>alpha-phi</v>
      </c>
      <c r="D25" t="s">
        <v>367</v>
      </c>
      <c r="E25" t="s">
        <v>368</v>
      </c>
      <c r="F25" t="s">
        <v>369</v>
      </c>
      <c r="G25" t="s">
        <v>370</v>
      </c>
      <c r="H25" s="20">
        <v>44550</v>
      </c>
      <c r="I25">
        <v>1</v>
      </c>
      <c r="J25">
        <v>4</v>
      </c>
      <c r="K25">
        <v>5</v>
      </c>
      <c r="L25">
        <v>4</v>
      </c>
      <c r="M25" s="21" t="s">
        <v>30</v>
      </c>
      <c r="N25" s="5">
        <v>0.15</v>
      </c>
      <c r="O25" s="5">
        <v>0.1</v>
      </c>
      <c r="P25" s="5">
        <v>0.1</v>
      </c>
    </row>
    <row r="26" spans="1:16" x14ac:dyDescent="0.2">
      <c r="A26" t="s">
        <v>336</v>
      </c>
      <c r="B26" t="str">
        <f t="shared" si="0"/>
        <v>Alpha-Pi</v>
      </c>
      <c r="C26" t="str">
        <f t="shared" si="1"/>
        <v>alpha-pi</v>
      </c>
      <c r="D26" t="s">
        <v>337</v>
      </c>
      <c r="E26" t="s">
        <v>338</v>
      </c>
      <c r="F26" t="s">
        <v>339</v>
      </c>
      <c r="G26" t="s">
        <v>340</v>
      </c>
      <c r="H26" s="20">
        <v>43105</v>
      </c>
      <c r="I26">
        <v>4</v>
      </c>
      <c r="J26">
        <v>2</v>
      </c>
      <c r="K26">
        <v>3</v>
      </c>
      <c r="L26">
        <v>5</v>
      </c>
      <c r="M26" t="s">
        <v>30</v>
      </c>
      <c r="N26" s="5">
        <v>0.15</v>
      </c>
      <c r="O26" s="5">
        <v>0.1</v>
      </c>
      <c r="P26" s="5">
        <v>0.1</v>
      </c>
    </row>
    <row r="27" spans="1:16" x14ac:dyDescent="0.2">
      <c r="A27" t="s">
        <v>346</v>
      </c>
      <c r="B27" t="str">
        <f t="shared" si="0"/>
        <v>Alpha-Rho</v>
      </c>
      <c r="C27" t="str">
        <f t="shared" si="1"/>
        <v>alpha-rho</v>
      </c>
      <c r="D27" t="s">
        <v>347</v>
      </c>
      <c r="E27" t="s">
        <v>348</v>
      </c>
      <c r="F27" t="s">
        <v>349</v>
      </c>
      <c r="G27" t="s">
        <v>350</v>
      </c>
      <c r="H27" s="20">
        <v>45036</v>
      </c>
      <c r="I27">
        <v>1</v>
      </c>
      <c r="J27">
        <v>2</v>
      </c>
      <c r="K27">
        <v>2</v>
      </c>
      <c r="L27">
        <v>2</v>
      </c>
      <c r="M27" t="s">
        <v>30</v>
      </c>
      <c r="N27" s="5">
        <v>0.15</v>
      </c>
      <c r="O27" s="5">
        <v>0.1</v>
      </c>
      <c r="P27" s="5">
        <v>0.1</v>
      </c>
    </row>
    <row r="28" spans="1:16" x14ac:dyDescent="0.2">
      <c r="A28" t="s">
        <v>341</v>
      </c>
      <c r="B28" t="str">
        <f t="shared" si="0"/>
        <v>Alpha-Rho</v>
      </c>
      <c r="C28" t="str">
        <f t="shared" si="1"/>
        <v>alpha-rho</v>
      </c>
      <c r="D28" t="s">
        <v>342</v>
      </c>
      <c r="E28" t="s">
        <v>343</v>
      </c>
      <c r="F28" t="s">
        <v>344</v>
      </c>
      <c r="G28" t="s">
        <v>345</v>
      </c>
      <c r="H28" s="20">
        <v>42921</v>
      </c>
      <c r="I28">
        <v>1</v>
      </c>
      <c r="J28">
        <v>5</v>
      </c>
      <c r="K28">
        <v>5</v>
      </c>
      <c r="L28">
        <v>2</v>
      </c>
      <c r="M28" t="s">
        <v>30</v>
      </c>
      <c r="N28" s="5">
        <v>0.15</v>
      </c>
      <c r="O28" s="5">
        <v>0.1</v>
      </c>
      <c r="P28" s="5">
        <v>0.1</v>
      </c>
    </row>
    <row r="29" spans="1:16" x14ac:dyDescent="0.2">
      <c r="A29" t="s">
        <v>351</v>
      </c>
      <c r="B29" t="str">
        <f t="shared" si="0"/>
        <v>Alpha-Sigma</v>
      </c>
      <c r="C29" t="str">
        <f t="shared" si="1"/>
        <v>alpha-sigma</v>
      </c>
      <c r="D29" t="s">
        <v>352</v>
      </c>
      <c r="E29" t="s">
        <v>353</v>
      </c>
      <c r="F29" t="s">
        <v>354</v>
      </c>
      <c r="G29" t="s">
        <v>355</v>
      </c>
      <c r="H29" s="20">
        <v>44371</v>
      </c>
      <c r="I29">
        <v>4</v>
      </c>
      <c r="J29">
        <v>5</v>
      </c>
      <c r="K29">
        <v>4</v>
      </c>
      <c r="L29">
        <v>4</v>
      </c>
      <c r="M29" t="s">
        <v>30</v>
      </c>
      <c r="N29" s="5">
        <v>0.15</v>
      </c>
      <c r="O29" s="5">
        <v>0.1</v>
      </c>
      <c r="P29" s="5">
        <v>0.1</v>
      </c>
    </row>
    <row r="30" spans="1:16" x14ac:dyDescent="0.2">
      <c r="A30" t="s">
        <v>356</v>
      </c>
      <c r="B30" t="str">
        <f t="shared" si="0"/>
        <v>Alpha-Tau</v>
      </c>
      <c r="C30" t="str">
        <f t="shared" si="1"/>
        <v>alpha-tau</v>
      </c>
      <c r="D30" t="s">
        <v>357</v>
      </c>
      <c r="E30" t="s">
        <v>358</v>
      </c>
      <c r="F30" t="s">
        <v>359</v>
      </c>
      <c r="G30" t="s">
        <v>360</v>
      </c>
      <c r="H30" s="20">
        <v>43776</v>
      </c>
      <c r="I30">
        <v>4</v>
      </c>
      <c r="J30">
        <v>4</v>
      </c>
      <c r="K30">
        <v>4</v>
      </c>
      <c r="L30">
        <v>2</v>
      </c>
      <c r="M30" t="s">
        <v>30</v>
      </c>
      <c r="N30" s="5">
        <v>0.15</v>
      </c>
      <c r="O30" s="5">
        <v>0.1</v>
      </c>
      <c r="P30" s="5">
        <v>0.1</v>
      </c>
    </row>
    <row r="31" spans="1:16" x14ac:dyDescent="0.2">
      <c r="A31" t="s">
        <v>261</v>
      </c>
      <c r="B31" t="str">
        <f t="shared" si="0"/>
        <v>Alpha-Theta</v>
      </c>
      <c r="C31" t="str">
        <f t="shared" si="1"/>
        <v>alpha-theta</v>
      </c>
      <c r="D31" t="s">
        <v>262</v>
      </c>
      <c r="E31" t="s">
        <v>263</v>
      </c>
      <c r="F31" t="s">
        <v>264</v>
      </c>
      <c r="G31" t="s">
        <v>265</v>
      </c>
      <c r="H31" s="20">
        <v>44660</v>
      </c>
      <c r="I31">
        <v>1</v>
      </c>
      <c r="J31">
        <v>4</v>
      </c>
      <c r="K31">
        <v>4</v>
      </c>
      <c r="L31">
        <v>5</v>
      </c>
      <c r="M31" t="s">
        <v>30</v>
      </c>
      <c r="N31" s="5">
        <v>0.15</v>
      </c>
      <c r="O31" s="5">
        <v>0.1</v>
      </c>
      <c r="P31" s="5">
        <v>0.1</v>
      </c>
    </row>
    <row r="32" spans="1:16" x14ac:dyDescent="0.2">
      <c r="A32" t="s">
        <v>361</v>
      </c>
      <c r="B32" t="str">
        <f t="shared" si="0"/>
        <v>Alpha-Upsilon</v>
      </c>
      <c r="C32" t="str">
        <f t="shared" si="1"/>
        <v>alpha-upsilon</v>
      </c>
      <c r="D32" t="s">
        <v>362</v>
      </c>
      <c r="E32" t="s">
        <v>363</v>
      </c>
      <c r="F32" t="s">
        <v>364</v>
      </c>
      <c r="G32" t="s">
        <v>365</v>
      </c>
      <c r="H32" s="20">
        <v>45071</v>
      </c>
      <c r="I32">
        <v>3</v>
      </c>
      <c r="J32">
        <v>4</v>
      </c>
      <c r="K32">
        <v>2</v>
      </c>
      <c r="L32">
        <v>5</v>
      </c>
      <c r="M32" t="s">
        <v>30</v>
      </c>
      <c r="N32" s="5">
        <v>0.15</v>
      </c>
      <c r="O32" s="5">
        <v>0.1</v>
      </c>
      <c r="P32" s="5">
        <v>0.1</v>
      </c>
    </row>
    <row r="33" spans="1:16" x14ac:dyDescent="0.2">
      <c r="A33" t="s">
        <v>321</v>
      </c>
      <c r="B33" t="str">
        <f t="shared" si="0"/>
        <v>Alpha-Xi</v>
      </c>
      <c r="C33" t="str">
        <f t="shared" si="1"/>
        <v>alpha-xi</v>
      </c>
      <c r="D33" t="s">
        <v>322</v>
      </c>
      <c r="E33" t="s">
        <v>323</v>
      </c>
      <c r="F33" t="s">
        <v>324</v>
      </c>
      <c r="G33" t="s">
        <v>325</v>
      </c>
      <c r="H33" s="20">
        <v>45079</v>
      </c>
      <c r="I33">
        <v>2</v>
      </c>
      <c r="J33">
        <v>2</v>
      </c>
      <c r="K33">
        <v>4</v>
      </c>
      <c r="L33">
        <v>2</v>
      </c>
      <c r="M33" t="s">
        <v>30</v>
      </c>
      <c r="N33" s="5">
        <v>0.15</v>
      </c>
      <c r="O33" s="5">
        <v>0.1</v>
      </c>
      <c r="P33" s="5">
        <v>0.1</v>
      </c>
    </row>
    <row r="34" spans="1:16" x14ac:dyDescent="0.2">
      <c r="A34" t="s">
        <v>251</v>
      </c>
      <c r="B34" t="str">
        <f t="shared" si="0"/>
        <v>Alpha-Zeta</v>
      </c>
      <c r="C34" t="str">
        <f t="shared" si="1"/>
        <v>alpha-zeta</v>
      </c>
      <c r="D34" t="s">
        <v>252</v>
      </c>
      <c r="E34" t="s">
        <v>253</v>
      </c>
      <c r="F34" t="s">
        <v>254</v>
      </c>
      <c r="G34" t="s">
        <v>255</v>
      </c>
      <c r="H34" s="20">
        <v>42441</v>
      </c>
      <c r="I34">
        <v>5</v>
      </c>
      <c r="J34">
        <v>3</v>
      </c>
      <c r="K34">
        <v>3</v>
      </c>
      <c r="L34">
        <v>3</v>
      </c>
      <c r="M34" t="s">
        <v>30</v>
      </c>
      <c r="N34" s="5">
        <v>0.15</v>
      </c>
      <c r="O34" s="5">
        <v>0.1</v>
      </c>
      <c r="P34" s="5">
        <v>0.1</v>
      </c>
    </row>
    <row r="35" spans="1:16" x14ac:dyDescent="0.2">
      <c r="A35" t="s">
        <v>3</v>
      </c>
      <c r="B35" t="s">
        <v>3</v>
      </c>
      <c r="C35" t="s">
        <v>41</v>
      </c>
      <c r="D35" s="14" t="s">
        <v>42</v>
      </c>
      <c r="E35" s="8" t="s">
        <v>43</v>
      </c>
      <c r="F35" s="8" t="s">
        <v>44</v>
      </c>
      <c r="G35" s="8" t="s">
        <v>45</v>
      </c>
      <c r="H35" s="7">
        <v>43122</v>
      </c>
      <c r="I35" s="10">
        <v>1</v>
      </c>
      <c r="J35" s="13">
        <v>1</v>
      </c>
      <c r="K35" s="13">
        <v>14</v>
      </c>
      <c r="L35" s="13">
        <v>20</v>
      </c>
      <c r="M35" t="s">
        <v>30</v>
      </c>
      <c r="N35" s="5">
        <v>0.15</v>
      </c>
      <c r="O35" s="5">
        <v>0.1</v>
      </c>
      <c r="P35" s="5">
        <v>0.1</v>
      </c>
    </row>
    <row r="36" spans="1:16" x14ac:dyDescent="0.2">
      <c r="A36" t="s">
        <v>206</v>
      </c>
      <c r="B36" t="str">
        <f>TRIM(LEFT(A36,FIND("|",A36)-1))</f>
        <v>Beta</v>
      </c>
      <c r="C36" t="str">
        <f>LOWER(B36)</f>
        <v>beta</v>
      </c>
      <c r="D36" t="s">
        <v>207</v>
      </c>
      <c r="E36" t="s">
        <v>208</v>
      </c>
      <c r="F36" t="s">
        <v>209</v>
      </c>
      <c r="G36" t="s">
        <v>210</v>
      </c>
      <c r="H36" s="20">
        <v>44034</v>
      </c>
      <c r="I36">
        <v>5</v>
      </c>
      <c r="J36">
        <v>4</v>
      </c>
      <c r="K36">
        <v>4</v>
      </c>
      <c r="L36">
        <v>3</v>
      </c>
      <c r="M36" t="s">
        <v>30</v>
      </c>
      <c r="N36" s="5">
        <v>0.15</v>
      </c>
      <c r="O36" s="5">
        <v>0.1</v>
      </c>
      <c r="P36" s="5">
        <v>0.1</v>
      </c>
    </row>
    <row r="37" spans="1:16" x14ac:dyDescent="0.2">
      <c r="A37" t="s">
        <v>211</v>
      </c>
      <c r="B37" t="str">
        <f>TRIM(LEFT(A37,FIND("|",A37)-1))</f>
        <v>Beta</v>
      </c>
      <c r="C37" t="str">
        <f>LOWER(B37)</f>
        <v>beta</v>
      </c>
      <c r="D37" t="s">
        <v>212</v>
      </c>
      <c r="E37" t="s">
        <v>213</v>
      </c>
      <c r="F37" t="s">
        <v>214</v>
      </c>
      <c r="G37" t="s">
        <v>215</v>
      </c>
      <c r="H37" s="20">
        <v>44134</v>
      </c>
      <c r="I37">
        <v>2</v>
      </c>
      <c r="J37">
        <v>4</v>
      </c>
      <c r="K37">
        <v>3</v>
      </c>
      <c r="L37">
        <v>3</v>
      </c>
      <c r="M37" t="s">
        <v>30</v>
      </c>
      <c r="N37" s="5">
        <v>0.15</v>
      </c>
      <c r="O37" s="5">
        <v>0.1</v>
      </c>
      <c r="P37" s="5">
        <v>0.1</v>
      </c>
    </row>
    <row r="38" spans="1:16" x14ac:dyDescent="0.2">
      <c r="A38" t="s">
        <v>136</v>
      </c>
      <c r="B38" t="str">
        <f>TRIM(LEFT(A38,FIND("|",A38)-1))</f>
        <v>Chi</v>
      </c>
      <c r="C38" t="str">
        <f>LOWER(B38)</f>
        <v>chi</v>
      </c>
      <c r="D38" t="s">
        <v>137</v>
      </c>
      <c r="E38" t="s">
        <v>138</v>
      </c>
      <c r="F38" t="s">
        <v>139</v>
      </c>
      <c r="G38" t="s">
        <v>140</v>
      </c>
      <c r="H38" s="20">
        <v>44935</v>
      </c>
      <c r="I38">
        <v>2</v>
      </c>
      <c r="J38">
        <v>3</v>
      </c>
      <c r="K38">
        <v>4</v>
      </c>
      <c r="L38">
        <v>2</v>
      </c>
      <c r="M38" t="s">
        <v>30</v>
      </c>
      <c r="N38" s="5">
        <v>0.15</v>
      </c>
      <c r="O38" s="5">
        <v>0.1</v>
      </c>
      <c r="P38" s="5">
        <v>0.1</v>
      </c>
    </row>
    <row r="39" spans="1:16" x14ac:dyDescent="0.2">
      <c r="A39" t="s">
        <v>141</v>
      </c>
      <c r="B39" t="str">
        <f>TRIM(LEFT(A39,FIND("|",A39)-1))</f>
        <v>Chi</v>
      </c>
      <c r="C39" t="str">
        <f>LOWER(B39)</f>
        <v>chi</v>
      </c>
      <c r="D39" t="s">
        <v>142</v>
      </c>
      <c r="E39" t="s">
        <v>143</v>
      </c>
      <c r="F39" t="s">
        <v>144</v>
      </c>
      <c r="G39" t="s">
        <v>145</v>
      </c>
      <c r="H39" s="20">
        <v>43731</v>
      </c>
      <c r="I39">
        <v>2</v>
      </c>
      <c r="J39">
        <v>4</v>
      </c>
      <c r="K39">
        <v>4</v>
      </c>
      <c r="L39">
        <v>4</v>
      </c>
      <c r="M39" t="s">
        <v>30</v>
      </c>
      <c r="N39" s="5">
        <v>0.15</v>
      </c>
      <c r="O39" s="5">
        <v>0.1</v>
      </c>
      <c r="P39" s="5">
        <v>0.1</v>
      </c>
    </row>
    <row r="40" spans="1:16" x14ac:dyDescent="0.2">
      <c r="A40" t="s">
        <v>7</v>
      </c>
      <c r="B40" t="s">
        <v>7</v>
      </c>
      <c r="C40" t="s">
        <v>61</v>
      </c>
      <c r="D40" s="14" t="s">
        <v>62</v>
      </c>
      <c r="E40" s="8" t="s">
        <v>63</v>
      </c>
      <c r="F40" s="8" t="s">
        <v>64</v>
      </c>
      <c r="G40" s="8" t="s">
        <v>65</v>
      </c>
      <c r="H40" s="7">
        <v>45226</v>
      </c>
      <c r="I40" s="10">
        <v>4</v>
      </c>
      <c r="J40" s="13">
        <v>2</v>
      </c>
      <c r="K40" s="13">
        <v>0</v>
      </c>
      <c r="L40" s="13">
        <v>8</v>
      </c>
      <c r="M40" t="s">
        <v>30</v>
      </c>
      <c r="N40" s="5">
        <v>0.15</v>
      </c>
      <c r="O40" s="5">
        <v>0.1</v>
      </c>
      <c r="P40" s="5">
        <v>0.1</v>
      </c>
    </row>
    <row r="41" spans="1:16" x14ac:dyDescent="0.2">
      <c r="A41" s="1" t="s">
        <v>0</v>
      </c>
      <c r="B41" t="s">
        <v>0</v>
      </c>
      <c r="C41" t="s">
        <v>25</v>
      </c>
      <c r="D41" s="14" t="s">
        <v>26</v>
      </c>
      <c r="E41" s="8" t="s">
        <v>27</v>
      </c>
      <c r="F41" s="8" t="s">
        <v>28</v>
      </c>
      <c r="G41" s="8" t="s">
        <v>29</v>
      </c>
      <c r="H41" s="7">
        <v>41899</v>
      </c>
      <c r="I41" s="6">
        <v>1</v>
      </c>
      <c r="J41" s="13">
        <v>2</v>
      </c>
      <c r="K41" s="13">
        <v>12</v>
      </c>
      <c r="L41" s="13">
        <v>19</v>
      </c>
      <c r="M41" t="s">
        <v>30</v>
      </c>
      <c r="N41" s="5">
        <v>0.15</v>
      </c>
      <c r="O41" s="5">
        <v>0.1</v>
      </c>
      <c r="P41" s="5">
        <v>0.1</v>
      </c>
    </row>
    <row r="42" spans="1:16" x14ac:dyDescent="0.2">
      <c r="A42" t="s">
        <v>4</v>
      </c>
      <c r="B42" t="s">
        <v>4</v>
      </c>
      <c r="C42" t="s">
        <v>46</v>
      </c>
      <c r="D42" s="14" t="s">
        <v>47</v>
      </c>
      <c r="E42" s="8" t="s">
        <v>48</v>
      </c>
      <c r="F42" s="8" t="s">
        <v>49</v>
      </c>
      <c r="G42" s="8" t="s">
        <v>50</v>
      </c>
      <c r="H42" s="7">
        <v>43774</v>
      </c>
      <c r="I42" s="10">
        <v>2</v>
      </c>
      <c r="J42" s="13">
        <v>1</v>
      </c>
      <c r="K42" s="13">
        <v>4</v>
      </c>
      <c r="L42" s="13">
        <v>8</v>
      </c>
      <c r="M42" t="s">
        <v>30</v>
      </c>
      <c r="N42" s="5">
        <v>0.15</v>
      </c>
      <c r="O42" s="5">
        <v>0.1</v>
      </c>
      <c r="P42" s="5">
        <v>0.1</v>
      </c>
    </row>
    <row r="43" spans="1:16" x14ac:dyDescent="0.2">
      <c r="A43" t="s">
        <v>231</v>
      </c>
      <c r="B43" t="str">
        <f>TRIM(LEFT(A43,FIND("|",A43)-1))</f>
        <v>Eta</v>
      </c>
      <c r="C43" t="str">
        <f>LOWER(B43)</f>
        <v>eta</v>
      </c>
      <c r="D43" t="s">
        <v>232</v>
      </c>
      <c r="E43" t="s">
        <v>233</v>
      </c>
      <c r="F43" t="s">
        <v>234</v>
      </c>
      <c r="G43" t="s">
        <v>235</v>
      </c>
      <c r="H43" s="20">
        <v>43886</v>
      </c>
      <c r="I43">
        <v>1</v>
      </c>
      <c r="J43">
        <v>5</v>
      </c>
      <c r="K43">
        <v>2</v>
      </c>
      <c r="L43">
        <v>4</v>
      </c>
      <c r="M43" t="s">
        <v>30</v>
      </c>
      <c r="N43" s="5">
        <v>0.15</v>
      </c>
      <c r="O43" s="5">
        <v>0.1</v>
      </c>
      <c r="P43" s="5">
        <v>0.1</v>
      </c>
    </row>
    <row r="44" spans="1:16" x14ac:dyDescent="0.2">
      <c r="A44" t="s">
        <v>226</v>
      </c>
      <c r="B44" t="str">
        <f>TRIM(LEFT(A44,FIND("|",A44)-1))</f>
        <v>Eta</v>
      </c>
      <c r="C44" t="str">
        <f>LOWER(B44)</f>
        <v>eta</v>
      </c>
      <c r="D44" t="s">
        <v>227</v>
      </c>
      <c r="E44" t="s">
        <v>228</v>
      </c>
      <c r="F44" t="s">
        <v>229</v>
      </c>
      <c r="G44" t="s">
        <v>230</v>
      </c>
      <c r="H44" s="20">
        <v>42938</v>
      </c>
      <c r="I44">
        <v>5</v>
      </c>
      <c r="J44">
        <v>3</v>
      </c>
      <c r="K44">
        <v>4</v>
      </c>
      <c r="L44">
        <v>5</v>
      </c>
      <c r="M44" t="s">
        <v>30</v>
      </c>
      <c r="N44" s="5">
        <v>0.15</v>
      </c>
      <c r="O44" s="5">
        <v>0.1</v>
      </c>
      <c r="P44" s="5">
        <v>0.1</v>
      </c>
    </row>
    <row r="45" spans="1:16" x14ac:dyDescent="0.2">
      <c r="A45" t="s">
        <v>5</v>
      </c>
      <c r="B45" t="s">
        <v>5</v>
      </c>
      <c r="C45" t="s">
        <v>51</v>
      </c>
      <c r="D45" s="14" t="s">
        <v>52</v>
      </c>
      <c r="E45" s="8" t="s">
        <v>53</v>
      </c>
      <c r="F45" s="8" t="s">
        <v>54</v>
      </c>
      <c r="G45" s="8" t="s">
        <v>55</v>
      </c>
      <c r="H45" s="9">
        <v>44026</v>
      </c>
      <c r="I45" s="10">
        <v>4</v>
      </c>
      <c r="J45" s="13">
        <v>1</v>
      </c>
      <c r="K45" s="13">
        <v>0</v>
      </c>
      <c r="L45" s="13">
        <v>8</v>
      </c>
      <c r="M45" t="s">
        <v>30</v>
      </c>
      <c r="N45" s="5">
        <v>0.15</v>
      </c>
      <c r="O45" s="5">
        <v>0.1</v>
      </c>
      <c r="P45" s="5">
        <v>0.1</v>
      </c>
    </row>
    <row r="46" spans="1:16" x14ac:dyDescent="0.2">
      <c r="A46" t="s">
        <v>236</v>
      </c>
      <c r="B46" t="str">
        <f t="shared" ref="B46:B63" si="2">TRIM(LEFT(A46,FIND("|",A46)-1))</f>
        <v>Gamma</v>
      </c>
      <c r="C46" t="str">
        <f t="shared" ref="C46:C63" si="3">LOWER(B46)</f>
        <v>gamma</v>
      </c>
      <c r="D46" t="s">
        <v>237</v>
      </c>
      <c r="E46" t="s">
        <v>238</v>
      </c>
      <c r="F46" t="s">
        <v>239</v>
      </c>
      <c r="G46" t="s">
        <v>240</v>
      </c>
      <c r="H46" s="20">
        <v>44421</v>
      </c>
      <c r="I46">
        <v>3</v>
      </c>
      <c r="J46">
        <v>5</v>
      </c>
      <c r="K46">
        <v>2</v>
      </c>
      <c r="L46">
        <v>5</v>
      </c>
      <c r="M46" t="s">
        <v>30</v>
      </c>
      <c r="N46" s="5">
        <v>0.15</v>
      </c>
      <c r="O46" s="5">
        <v>0.1</v>
      </c>
      <c r="P46" s="5">
        <v>0.1</v>
      </c>
    </row>
    <row r="47" spans="1:16" x14ac:dyDescent="0.2">
      <c r="A47" t="s">
        <v>66</v>
      </c>
      <c r="B47" t="str">
        <f t="shared" si="2"/>
        <v>Iota</v>
      </c>
      <c r="C47" t="str">
        <f t="shared" si="3"/>
        <v>iota</v>
      </c>
      <c r="D47" t="s">
        <v>67</v>
      </c>
      <c r="E47" t="s">
        <v>68</v>
      </c>
      <c r="F47" t="s">
        <v>69</v>
      </c>
      <c r="G47" t="s">
        <v>70</v>
      </c>
      <c r="H47" s="20">
        <v>43116</v>
      </c>
      <c r="I47">
        <v>2</v>
      </c>
      <c r="J47">
        <v>3</v>
      </c>
      <c r="K47">
        <v>3</v>
      </c>
      <c r="L47">
        <v>5</v>
      </c>
      <c r="M47" t="s">
        <v>30</v>
      </c>
      <c r="N47" s="5">
        <v>0.15</v>
      </c>
      <c r="O47" s="5">
        <v>0.1</v>
      </c>
      <c r="P47" s="5">
        <v>0.1</v>
      </c>
    </row>
    <row r="48" spans="1:16" x14ac:dyDescent="0.2">
      <c r="A48" t="s">
        <v>71</v>
      </c>
      <c r="B48" t="str">
        <f t="shared" si="2"/>
        <v>Kappa</v>
      </c>
      <c r="C48" t="str">
        <f t="shared" si="3"/>
        <v>kappa</v>
      </c>
      <c r="D48" t="s">
        <v>72</v>
      </c>
      <c r="E48" t="s">
        <v>73</v>
      </c>
      <c r="F48" t="s">
        <v>74</v>
      </c>
      <c r="G48" t="s">
        <v>75</v>
      </c>
      <c r="H48" s="20">
        <v>43482</v>
      </c>
      <c r="I48">
        <v>3</v>
      </c>
      <c r="J48">
        <v>2</v>
      </c>
      <c r="K48">
        <v>2</v>
      </c>
      <c r="L48">
        <v>4</v>
      </c>
      <c r="M48" t="s">
        <v>30</v>
      </c>
      <c r="N48" s="5">
        <v>0.15</v>
      </c>
      <c r="O48" s="5">
        <v>0.1</v>
      </c>
      <c r="P48" s="5">
        <v>0.1</v>
      </c>
    </row>
    <row r="49" spans="1:16" x14ac:dyDescent="0.2">
      <c r="A49" t="s">
        <v>76</v>
      </c>
      <c r="B49" t="str">
        <f t="shared" si="2"/>
        <v>Lambda</v>
      </c>
      <c r="C49" t="str">
        <f t="shared" si="3"/>
        <v>lambda</v>
      </c>
      <c r="D49" t="s">
        <v>77</v>
      </c>
      <c r="E49" t="s">
        <v>78</v>
      </c>
      <c r="F49" t="s">
        <v>79</v>
      </c>
      <c r="G49" t="s">
        <v>80</v>
      </c>
      <c r="H49" s="20">
        <v>44830</v>
      </c>
      <c r="I49">
        <v>5</v>
      </c>
      <c r="J49">
        <v>4</v>
      </c>
      <c r="K49">
        <v>4</v>
      </c>
      <c r="L49">
        <v>4</v>
      </c>
      <c r="M49" t="s">
        <v>30</v>
      </c>
      <c r="N49" s="5">
        <v>0.15</v>
      </c>
      <c r="O49" s="5">
        <v>0.1</v>
      </c>
      <c r="P49" s="5">
        <v>0.1</v>
      </c>
    </row>
    <row r="50" spans="1:16" x14ac:dyDescent="0.2">
      <c r="A50" t="s">
        <v>81</v>
      </c>
      <c r="B50" t="str">
        <f t="shared" si="2"/>
        <v>Mu</v>
      </c>
      <c r="C50" t="str">
        <f t="shared" si="3"/>
        <v>mu</v>
      </c>
      <c r="D50" t="s">
        <v>82</v>
      </c>
      <c r="E50" t="s">
        <v>83</v>
      </c>
      <c r="F50" t="s">
        <v>84</v>
      </c>
      <c r="G50" t="s">
        <v>85</v>
      </c>
      <c r="H50" s="20">
        <v>43742</v>
      </c>
      <c r="I50">
        <v>1</v>
      </c>
      <c r="J50">
        <v>4</v>
      </c>
      <c r="K50">
        <v>3</v>
      </c>
      <c r="L50">
        <v>3</v>
      </c>
      <c r="M50" t="s">
        <v>30</v>
      </c>
      <c r="N50" s="5">
        <v>0.15</v>
      </c>
      <c r="O50" s="5">
        <v>0.1</v>
      </c>
      <c r="P50" s="5">
        <v>0.1</v>
      </c>
    </row>
    <row r="51" spans="1:16" x14ac:dyDescent="0.2">
      <c r="A51" t="s">
        <v>86</v>
      </c>
      <c r="B51" t="str">
        <f t="shared" si="2"/>
        <v>Nu</v>
      </c>
      <c r="C51" t="str">
        <f t="shared" si="3"/>
        <v>nu</v>
      </c>
      <c r="D51" t="s">
        <v>87</v>
      </c>
      <c r="E51" t="s">
        <v>88</v>
      </c>
      <c r="F51" t="s">
        <v>89</v>
      </c>
      <c r="G51" t="s">
        <v>90</v>
      </c>
      <c r="H51" s="20">
        <v>43243</v>
      </c>
      <c r="I51">
        <v>3</v>
      </c>
      <c r="J51">
        <v>4</v>
      </c>
      <c r="K51">
        <v>2</v>
      </c>
      <c r="L51">
        <v>3</v>
      </c>
      <c r="M51" t="s">
        <v>30</v>
      </c>
      <c r="N51" s="5">
        <v>0.15</v>
      </c>
      <c r="O51" s="5">
        <v>0.1</v>
      </c>
      <c r="P51" s="5">
        <v>0.1</v>
      </c>
    </row>
    <row r="52" spans="1:16" x14ac:dyDescent="0.2">
      <c r="A52" t="s">
        <v>176</v>
      </c>
      <c r="B52" t="str">
        <f t="shared" si="2"/>
        <v>Omega</v>
      </c>
      <c r="C52" t="str">
        <f t="shared" si="3"/>
        <v>omega</v>
      </c>
      <c r="D52" t="s">
        <v>177</v>
      </c>
      <c r="E52" t="s">
        <v>178</v>
      </c>
      <c r="F52" t="s">
        <v>179</v>
      </c>
      <c r="G52" t="s">
        <v>180</v>
      </c>
      <c r="H52" s="20">
        <v>44733</v>
      </c>
      <c r="I52">
        <v>2</v>
      </c>
      <c r="J52">
        <v>3</v>
      </c>
      <c r="K52">
        <v>4</v>
      </c>
      <c r="L52">
        <v>3</v>
      </c>
      <c r="M52" t="s">
        <v>30</v>
      </c>
      <c r="N52" s="5">
        <v>0.15</v>
      </c>
      <c r="O52" s="5">
        <v>0.1</v>
      </c>
      <c r="P52" s="5">
        <v>0.1</v>
      </c>
    </row>
    <row r="53" spans="1:16" x14ac:dyDescent="0.2">
      <c r="A53" t="s">
        <v>166</v>
      </c>
      <c r="B53" t="str">
        <f t="shared" si="2"/>
        <v>Omega</v>
      </c>
      <c r="C53" t="str">
        <f t="shared" si="3"/>
        <v>omega</v>
      </c>
      <c r="D53" t="s">
        <v>167</v>
      </c>
      <c r="E53" t="s">
        <v>168</v>
      </c>
      <c r="F53" t="s">
        <v>169</v>
      </c>
      <c r="G53" t="s">
        <v>170</v>
      </c>
      <c r="H53" s="20">
        <v>42636</v>
      </c>
      <c r="I53">
        <v>5</v>
      </c>
      <c r="J53">
        <v>3</v>
      </c>
      <c r="K53">
        <v>2</v>
      </c>
      <c r="L53">
        <v>5</v>
      </c>
      <c r="M53" t="s">
        <v>30</v>
      </c>
      <c r="N53" s="5">
        <v>0.15</v>
      </c>
      <c r="O53" s="5">
        <v>0.1</v>
      </c>
      <c r="P53" s="5">
        <v>0.1</v>
      </c>
    </row>
    <row r="54" spans="1:16" x14ac:dyDescent="0.2">
      <c r="A54" t="s">
        <v>171</v>
      </c>
      <c r="B54" t="str">
        <f t="shared" si="2"/>
        <v>Omega</v>
      </c>
      <c r="C54" t="str">
        <f t="shared" si="3"/>
        <v>omega</v>
      </c>
      <c r="D54" t="s">
        <v>172</v>
      </c>
      <c r="E54" t="s">
        <v>173</v>
      </c>
      <c r="F54" t="s">
        <v>174</v>
      </c>
      <c r="G54" t="s">
        <v>175</v>
      </c>
      <c r="H54" s="20">
        <v>42402</v>
      </c>
      <c r="I54">
        <v>3</v>
      </c>
      <c r="J54">
        <v>5</v>
      </c>
      <c r="K54">
        <v>3</v>
      </c>
      <c r="L54">
        <v>3</v>
      </c>
      <c r="M54" t="s">
        <v>30</v>
      </c>
      <c r="N54" s="5">
        <v>0.15</v>
      </c>
      <c r="O54" s="5">
        <v>0.1</v>
      </c>
      <c r="P54" s="5">
        <v>0.1</v>
      </c>
    </row>
    <row r="55" spans="1:16" x14ac:dyDescent="0.2">
      <c r="A55" t="s">
        <v>96</v>
      </c>
      <c r="B55" t="str">
        <f t="shared" si="2"/>
        <v>Omicron</v>
      </c>
      <c r="C55" t="str">
        <f t="shared" si="3"/>
        <v>omicron</v>
      </c>
      <c r="D55" t="s">
        <v>97</v>
      </c>
      <c r="E55" t="s">
        <v>98</v>
      </c>
      <c r="F55" t="s">
        <v>99</v>
      </c>
      <c r="G55" t="s">
        <v>100</v>
      </c>
      <c r="H55" s="20">
        <v>44822</v>
      </c>
      <c r="I55">
        <v>3</v>
      </c>
      <c r="J55">
        <v>2</v>
      </c>
      <c r="K55">
        <v>4</v>
      </c>
      <c r="L55">
        <v>2</v>
      </c>
      <c r="M55" t="s">
        <v>30</v>
      </c>
      <c r="N55" s="5">
        <v>0.15</v>
      </c>
      <c r="O55" s="5">
        <v>0.1</v>
      </c>
      <c r="P55" s="5">
        <v>0.1</v>
      </c>
    </row>
    <row r="56" spans="1:16" x14ac:dyDescent="0.2">
      <c r="A56" t="s">
        <v>131</v>
      </c>
      <c r="B56" t="str">
        <f t="shared" si="2"/>
        <v>Phi</v>
      </c>
      <c r="C56" t="str">
        <f t="shared" si="3"/>
        <v>phi</v>
      </c>
      <c r="D56" t="s">
        <v>132</v>
      </c>
      <c r="E56" t="s">
        <v>133</v>
      </c>
      <c r="F56" t="s">
        <v>134</v>
      </c>
      <c r="G56" t="s">
        <v>135</v>
      </c>
      <c r="H56" s="20">
        <v>45188</v>
      </c>
      <c r="I56">
        <v>5</v>
      </c>
      <c r="J56">
        <v>3</v>
      </c>
      <c r="K56">
        <v>2</v>
      </c>
      <c r="L56">
        <v>3</v>
      </c>
      <c r="M56" t="s">
        <v>30</v>
      </c>
      <c r="N56" s="5">
        <v>0.15</v>
      </c>
      <c r="O56" s="5">
        <v>0.1</v>
      </c>
      <c r="P56" s="5">
        <v>0.1</v>
      </c>
    </row>
    <row r="57" spans="1:16" x14ac:dyDescent="0.2">
      <c r="A57" t="s">
        <v>101</v>
      </c>
      <c r="B57" t="str">
        <f t="shared" si="2"/>
        <v>Pi</v>
      </c>
      <c r="C57" t="str">
        <f t="shared" si="3"/>
        <v>pi</v>
      </c>
      <c r="D57" t="s">
        <v>102</v>
      </c>
      <c r="E57" t="s">
        <v>103</v>
      </c>
      <c r="F57" t="s">
        <v>104</v>
      </c>
      <c r="G57" t="s">
        <v>105</v>
      </c>
      <c r="H57" s="20">
        <v>44080</v>
      </c>
      <c r="I57">
        <v>5</v>
      </c>
      <c r="J57">
        <v>2</v>
      </c>
      <c r="K57">
        <v>4</v>
      </c>
      <c r="L57">
        <v>2</v>
      </c>
      <c r="M57" t="s">
        <v>30</v>
      </c>
      <c r="N57" s="5">
        <v>0.15</v>
      </c>
      <c r="O57" s="5">
        <v>0.1</v>
      </c>
      <c r="P57" s="5">
        <v>0.1</v>
      </c>
    </row>
    <row r="58" spans="1:16" x14ac:dyDescent="0.2">
      <c r="A58" t="s">
        <v>106</v>
      </c>
      <c r="B58" t="str">
        <f t="shared" si="2"/>
        <v>Pi</v>
      </c>
      <c r="C58" t="str">
        <f t="shared" si="3"/>
        <v>pi</v>
      </c>
      <c r="D58" t="s">
        <v>107</v>
      </c>
      <c r="E58" t="s">
        <v>108</v>
      </c>
      <c r="F58" t="s">
        <v>109</v>
      </c>
      <c r="G58" t="s">
        <v>110</v>
      </c>
      <c r="H58" s="20">
        <v>44591</v>
      </c>
      <c r="I58">
        <v>1</v>
      </c>
      <c r="J58">
        <v>4</v>
      </c>
      <c r="K58">
        <v>3</v>
      </c>
      <c r="L58">
        <v>4</v>
      </c>
      <c r="M58" t="s">
        <v>30</v>
      </c>
      <c r="N58" s="5">
        <v>0.15</v>
      </c>
      <c r="O58" s="5">
        <v>0.1</v>
      </c>
      <c r="P58" s="5">
        <v>0.1</v>
      </c>
    </row>
    <row r="59" spans="1:16" x14ac:dyDescent="0.2">
      <c r="A59" t="s">
        <v>151</v>
      </c>
      <c r="B59" t="str">
        <f t="shared" si="2"/>
        <v>Psi</v>
      </c>
      <c r="C59" t="str">
        <f t="shared" si="3"/>
        <v>psi</v>
      </c>
      <c r="D59" t="s">
        <v>152</v>
      </c>
      <c r="E59" t="s">
        <v>153</v>
      </c>
      <c r="F59" t="s">
        <v>154</v>
      </c>
      <c r="G59" t="s">
        <v>155</v>
      </c>
      <c r="H59" s="20">
        <v>44235</v>
      </c>
      <c r="I59">
        <v>5</v>
      </c>
      <c r="J59">
        <v>2</v>
      </c>
      <c r="K59">
        <v>3</v>
      </c>
      <c r="L59">
        <v>5</v>
      </c>
      <c r="M59" t="s">
        <v>30</v>
      </c>
      <c r="N59" s="5">
        <v>0.15</v>
      </c>
      <c r="O59" s="5">
        <v>0.1</v>
      </c>
      <c r="P59" s="5">
        <v>0.1</v>
      </c>
    </row>
    <row r="60" spans="1:16" x14ac:dyDescent="0.2">
      <c r="A60" t="s">
        <v>146</v>
      </c>
      <c r="B60" t="str">
        <f t="shared" si="2"/>
        <v>Psi</v>
      </c>
      <c r="C60" t="str">
        <f t="shared" si="3"/>
        <v>psi</v>
      </c>
      <c r="D60" t="s">
        <v>147</v>
      </c>
      <c r="E60" t="s">
        <v>148</v>
      </c>
      <c r="F60" t="s">
        <v>149</v>
      </c>
      <c r="G60" t="s">
        <v>150</v>
      </c>
      <c r="H60" s="20">
        <v>43032</v>
      </c>
      <c r="I60">
        <v>2</v>
      </c>
      <c r="J60">
        <v>4</v>
      </c>
      <c r="K60">
        <v>5</v>
      </c>
      <c r="L60">
        <v>5</v>
      </c>
      <c r="M60" t="s">
        <v>30</v>
      </c>
      <c r="N60" s="5">
        <v>0.15</v>
      </c>
      <c r="O60" s="5">
        <v>0.1</v>
      </c>
      <c r="P60" s="5">
        <v>0.1</v>
      </c>
    </row>
    <row r="61" spans="1:16" x14ac:dyDescent="0.2">
      <c r="A61" t="s">
        <v>111</v>
      </c>
      <c r="B61" t="str">
        <f t="shared" si="2"/>
        <v>Rho</v>
      </c>
      <c r="C61" t="str">
        <f t="shared" si="3"/>
        <v>rho</v>
      </c>
      <c r="D61" t="s">
        <v>112</v>
      </c>
      <c r="E61" t="s">
        <v>113</v>
      </c>
      <c r="F61" t="s">
        <v>114</v>
      </c>
      <c r="G61" t="s">
        <v>115</v>
      </c>
      <c r="H61" s="20">
        <v>42812</v>
      </c>
      <c r="I61">
        <v>2</v>
      </c>
      <c r="J61">
        <v>2</v>
      </c>
      <c r="K61">
        <v>5</v>
      </c>
      <c r="L61">
        <v>5</v>
      </c>
      <c r="M61" t="s">
        <v>30</v>
      </c>
      <c r="N61" s="5">
        <v>0.15</v>
      </c>
      <c r="O61" s="5">
        <v>0.1</v>
      </c>
      <c r="P61" s="5">
        <v>0.1</v>
      </c>
    </row>
    <row r="62" spans="1:16" x14ac:dyDescent="0.2">
      <c r="A62" t="s">
        <v>116</v>
      </c>
      <c r="B62" t="str">
        <f t="shared" si="2"/>
        <v>Sigma</v>
      </c>
      <c r="C62" t="str">
        <f t="shared" si="3"/>
        <v>sigma</v>
      </c>
      <c r="D62" t="s">
        <v>117</v>
      </c>
      <c r="E62" t="s">
        <v>118</v>
      </c>
      <c r="F62" t="s">
        <v>119</v>
      </c>
      <c r="G62" t="s">
        <v>120</v>
      </c>
      <c r="H62" s="20">
        <v>43202</v>
      </c>
      <c r="I62">
        <v>5</v>
      </c>
      <c r="J62">
        <v>3</v>
      </c>
      <c r="K62">
        <v>4</v>
      </c>
      <c r="L62">
        <v>4</v>
      </c>
      <c r="M62" t="s">
        <v>30</v>
      </c>
      <c r="N62" s="5">
        <v>0.15</v>
      </c>
      <c r="O62" s="5">
        <v>0.1</v>
      </c>
      <c r="P62" s="5">
        <v>0.1</v>
      </c>
    </row>
    <row r="63" spans="1:16" x14ac:dyDescent="0.2">
      <c r="A63" t="s">
        <v>121</v>
      </c>
      <c r="B63" t="str">
        <f t="shared" si="2"/>
        <v>Tau</v>
      </c>
      <c r="C63" t="str">
        <f t="shared" si="3"/>
        <v>tau</v>
      </c>
      <c r="D63" t="s">
        <v>122</v>
      </c>
      <c r="E63" t="s">
        <v>123</v>
      </c>
      <c r="F63" t="s">
        <v>124</v>
      </c>
      <c r="G63" t="s">
        <v>125</v>
      </c>
      <c r="H63" s="20">
        <v>43003</v>
      </c>
      <c r="I63">
        <v>1</v>
      </c>
      <c r="J63">
        <v>4</v>
      </c>
      <c r="K63">
        <v>5</v>
      </c>
      <c r="L63">
        <v>3</v>
      </c>
      <c r="M63" t="s">
        <v>30</v>
      </c>
      <c r="N63" s="5">
        <v>0.15</v>
      </c>
      <c r="O63" s="5">
        <v>0.1</v>
      </c>
      <c r="P63" s="5">
        <v>0.1</v>
      </c>
    </row>
    <row r="64" spans="1:16" x14ac:dyDescent="0.2">
      <c r="A64" t="s">
        <v>6</v>
      </c>
      <c r="B64" t="s">
        <v>6</v>
      </c>
      <c r="C64" t="s">
        <v>56</v>
      </c>
      <c r="D64" s="14" t="s">
        <v>57</v>
      </c>
      <c r="E64" s="8" t="s">
        <v>58</v>
      </c>
      <c r="F64" s="8" t="s">
        <v>59</v>
      </c>
      <c r="G64" s="8" t="s">
        <v>60</v>
      </c>
      <c r="H64" s="7">
        <v>44629</v>
      </c>
      <c r="I64" s="10">
        <v>3</v>
      </c>
      <c r="J64" s="13">
        <v>2</v>
      </c>
      <c r="K64" s="13">
        <v>8</v>
      </c>
      <c r="L64" s="13">
        <v>8</v>
      </c>
      <c r="M64" t="s">
        <v>30</v>
      </c>
      <c r="N64" s="5">
        <v>0.15</v>
      </c>
      <c r="O64" s="5">
        <v>0.1</v>
      </c>
      <c r="P64" s="5">
        <v>0.1</v>
      </c>
    </row>
    <row r="65" spans="1:16" x14ac:dyDescent="0.2">
      <c r="A65" t="s">
        <v>246</v>
      </c>
      <c r="B65" t="str">
        <f>TRIM(LEFT(A65,FIND("|",A65)-1))</f>
        <v>Theta</v>
      </c>
      <c r="C65" t="str">
        <f>LOWER(B65)</f>
        <v>theta</v>
      </c>
      <c r="D65" t="s">
        <v>247</v>
      </c>
      <c r="E65" t="s">
        <v>248</v>
      </c>
      <c r="F65" t="s">
        <v>249</v>
      </c>
      <c r="G65" t="s">
        <v>250</v>
      </c>
      <c r="H65" s="20">
        <v>44608</v>
      </c>
      <c r="I65">
        <v>4</v>
      </c>
      <c r="J65">
        <v>3</v>
      </c>
      <c r="K65">
        <v>2</v>
      </c>
      <c r="L65">
        <v>4</v>
      </c>
      <c r="M65" t="s">
        <v>30</v>
      </c>
      <c r="N65" s="5">
        <v>0.15</v>
      </c>
      <c r="O65" s="5">
        <v>0.1</v>
      </c>
      <c r="P65" s="5">
        <v>0.1</v>
      </c>
    </row>
    <row r="66" spans="1:16" x14ac:dyDescent="0.2">
      <c r="A66" t="s">
        <v>126</v>
      </c>
      <c r="B66" t="str">
        <f>TRIM(LEFT(A66,FIND("|",A66)-1))</f>
        <v>Upsilon</v>
      </c>
      <c r="C66" t="str">
        <f>LOWER(B66)</f>
        <v>upsilon</v>
      </c>
      <c r="D66" t="s">
        <v>127</v>
      </c>
      <c r="E66" t="s">
        <v>128</v>
      </c>
      <c r="F66" t="s">
        <v>129</v>
      </c>
      <c r="G66" t="s">
        <v>130</v>
      </c>
      <c r="H66" s="20">
        <v>43585</v>
      </c>
      <c r="I66">
        <v>5</v>
      </c>
      <c r="J66">
        <v>5</v>
      </c>
      <c r="K66">
        <v>4</v>
      </c>
      <c r="L66">
        <v>5</v>
      </c>
      <c r="M66" t="s">
        <v>30</v>
      </c>
      <c r="N66" s="5">
        <v>0.15</v>
      </c>
      <c r="O66" s="5">
        <v>0.1</v>
      </c>
      <c r="P66" s="5">
        <v>0.1</v>
      </c>
    </row>
    <row r="67" spans="1:16" x14ac:dyDescent="0.2">
      <c r="A67" t="s">
        <v>91</v>
      </c>
      <c r="B67" t="str">
        <f>TRIM(LEFT(A67,FIND("|",A67)-1))</f>
        <v>Xi</v>
      </c>
      <c r="C67" t="str">
        <f>LOWER(B67)</f>
        <v>xi</v>
      </c>
      <c r="D67" t="s">
        <v>92</v>
      </c>
      <c r="E67" t="s">
        <v>93</v>
      </c>
      <c r="F67" t="s">
        <v>94</v>
      </c>
      <c r="G67" t="s">
        <v>95</v>
      </c>
      <c r="H67" s="20">
        <v>44340</v>
      </c>
      <c r="I67">
        <v>5</v>
      </c>
      <c r="J67">
        <v>3</v>
      </c>
      <c r="K67">
        <v>2</v>
      </c>
      <c r="L67">
        <v>3</v>
      </c>
      <c r="M67" t="s">
        <v>30</v>
      </c>
      <c r="N67" s="5">
        <v>0.15</v>
      </c>
      <c r="O67" s="5">
        <v>0.1</v>
      </c>
      <c r="P67" s="5">
        <v>0.1</v>
      </c>
    </row>
    <row r="68" spans="1:16" x14ac:dyDescent="0.2">
      <c r="A68" t="s">
        <v>2</v>
      </c>
      <c r="B68" t="s">
        <v>2</v>
      </c>
      <c r="C68" t="s">
        <v>36</v>
      </c>
      <c r="D68" s="14" t="s">
        <v>37</v>
      </c>
      <c r="E68" s="8" t="s">
        <v>38</v>
      </c>
      <c r="F68" s="8" t="s">
        <v>39</v>
      </c>
      <c r="G68" s="8" t="s">
        <v>40</v>
      </c>
      <c r="H68" s="9">
        <v>42976</v>
      </c>
      <c r="I68" s="6">
        <v>5</v>
      </c>
      <c r="J68" s="13">
        <v>3</v>
      </c>
      <c r="K68" s="13">
        <v>5</v>
      </c>
      <c r="L68" s="13">
        <v>10</v>
      </c>
      <c r="M68" t="s">
        <v>30</v>
      </c>
      <c r="N68" s="5">
        <v>0.15</v>
      </c>
      <c r="O68" s="5">
        <v>0.1</v>
      </c>
      <c r="P68" s="5">
        <v>0.1</v>
      </c>
    </row>
    <row r="69" spans="1:16" x14ac:dyDescent="0.2">
      <c r="A69" t="s">
        <v>156</v>
      </c>
      <c r="B69" t="str">
        <f>TRIM(LEFT(A69,FIND("|",A69)-1))</f>
        <v>Zeta</v>
      </c>
      <c r="C69" t="str">
        <f>LOWER(B69)</f>
        <v>zeta</v>
      </c>
      <c r="D69" t="s">
        <v>157</v>
      </c>
      <c r="E69" t="s">
        <v>158</v>
      </c>
      <c r="F69" t="s">
        <v>159</v>
      </c>
      <c r="G69" t="s">
        <v>160</v>
      </c>
      <c r="H69" s="20">
        <v>43155</v>
      </c>
      <c r="I69">
        <v>5</v>
      </c>
      <c r="J69">
        <v>4</v>
      </c>
      <c r="K69">
        <v>3</v>
      </c>
      <c r="L69">
        <v>3</v>
      </c>
      <c r="M69" t="s">
        <v>30</v>
      </c>
      <c r="N69" s="5">
        <v>0.15</v>
      </c>
      <c r="O69" s="5">
        <v>0.1</v>
      </c>
      <c r="P69" s="5">
        <v>0.1</v>
      </c>
    </row>
    <row r="70" spans="1:16" x14ac:dyDescent="0.2">
      <c r="A70" t="s">
        <v>161</v>
      </c>
      <c r="B70" t="str">
        <f>TRIM(LEFT(A70,FIND("|",A70)-1))</f>
        <v>Zeta</v>
      </c>
      <c r="C70" t="str">
        <f>LOWER(B70)</f>
        <v>zeta</v>
      </c>
      <c r="D70" t="s">
        <v>162</v>
      </c>
      <c r="E70" t="s">
        <v>163</v>
      </c>
      <c r="F70" t="s">
        <v>164</v>
      </c>
      <c r="G70" t="s">
        <v>165</v>
      </c>
      <c r="H70" s="20">
        <v>45099</v>
      </c>
      <c r="I70">
        <v>4</v>
      </c>
      <c r="J70">
        <v>4</v>
      </c>
      <c r="K70">
        <v>4</v>
      </c>
      <c r="L70">
        <v>5</v>
      </c>
      <c r="M70" t="s">
        <v>30</v>
      </c>
      <c r="N70" s="5">
        <v>0.15</v>
      </c>
      <c r="O70" s="5">
        <v>0.1</v>
      </c>
      <c r="P70" s="5">
        <v>0.1</v>
      </c>
    </row>
  </sheetData>
  <sortState xmlns:xlrd2="http://schemas.microsoft.com/office/spreadsheetml/2017/richdata2" ref="A2:Q70">
    <sortCondition ref="A2:A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6"/>
  <sheetViews>
    <sheetView workbookViewId="0"/>
  </sheetViews>
  <sheetFormatPr baseColWidth="10" defaultRowHeight="15" x14ac:dyDescent="0.2"/>
  <cols>
    <col min="1" max="1" width="30" customWidth="1"/>
    <col min="2" max="2" width="35.83203125" customWidth="1"/>
    <col min="3" max="3" width="16.1640625" customWidth="1"/>
    <col min="4" max="4" width="36" customWidth="1"/>
    <col min="5" max="5" width="16.1640625" customWidth="1"/>
    <col min="6" max="6" width="43" customWidth="1"/>
    <col min="7" max="7" width="14" customWidth="1"/>
    <col min="10" max="11" width="15.5" style="18" customWidth="1"/>
    <col min="12" max="12" width="17.6640625" customWidth="1"/>
    <col min="13" max="13" width="12.6640625" customWidth="1"/>
    <col min="14" max="14" width="35.5" customWidth="1"/>
    <col min="15" max="16" width="12.83203125" style="13" customWidth="1"/>
    <col min="17" max="17" width="10.83203125" style="13" customWidth="1"/>
  </cols>
  <sheetData>
    <row r="1" spans="1:17" ht="37.25" customHeight="1" x14ac:dyDescent="0.2">
      <c r="B1" s="3" t="s">
        <v>8</v>
      </c>
      <c r="C1" s="14" t="s">
        <v>371</v>
      </c>
      <c r="D1" s="2" t="s">
        <v>372</v>
      </c>
      <c r="E1" s="14" t="s">
        <v>373</v>
      </c>
      <c r="F1" s="14" t="s">
        <v>374</v>
      </c>
      <c r="G1" s="14" t="s">
        <v>375</v>
      </c>
      <c r="H1" s="14" t="s">
        <v>376</v>
      </c>
      <c r="I1" s="14" t="s">
        <v>377</v>
      </c>
      <c r="J1" s="17" t="s">
        <v>378</v>
      </c>
      <c r="K1" s="17" t="s">
        <v>379</v>
      </c>
      <c r="L1" s="14" t="s">
        <v>380</v>
      </c>
      <c r="M1" s="14" t="s">
        <v>381</v>
      </c>
      <c r="N1" s="3" t="s">
        <v>382</v>
      </c>
      <c r="O1" s="4" t="s">
        <v>17</v>
      </c>
      <c r="P1" s="4" t="s">
        <v>18</v>
      </c>
      <c r="Q1" s="4" t="s">
        <v>383</v>
      </c>
    </row>
    <row r="2" spans="1:17" x14ac:dyDescent="0.2">
      <c r="A2" t="s">
        <v>384</v>
      </c>
      <c r="B2" t="s">
        <v>384</v>
      </c>
      <c r="C2" t="s">
        <v>1</v>
      </c>
      <c r="D2" t="s">
        <v>384</v>
      </c>
      <c r="E2" t="s">
        <v>385</v>
      </c>
      <c r="G2" t="str">
        <f t="shared" ref="G2:G33" si="0">IF(E2="Unrestricted","",TRIM(RIGHT(A2,LEN(A2)-FIND("|",A2))))</f>
        <v/>
      </c>
      <c r="M2" t="s">
        <v>386</v>
      </c>
      <c r="N2" t="s">
        <v>384</v>
      </c>
      <c r="O2">
        <v>1</v>
      </c>
      <c r="P2">
        <v>2</v>
      </c>
      <c r="Q2">
        <v>0</v>
      </c>
    </row>
    <row r="3" spans="1:17" x14ac:dyDescent="0.2">
      <c r="A3" t="s">
        <v>181</v>
      </c>
      <c r="B3" t="s">
        <v>181</v>
      </c>
      <c r="C3" t="str">
        <f>TRIM(LEFT(B3,FIND("|",B3)-1))</f>
        <v>Alpha-Alpha</v>
      </c>
      <c r="D3" t="s">
        <v>181</v>
      </c>
      <c r="E3" t="s">
        <v>385</v>
      </c>
      <c r="G3" t="str">
        <f t="shared" si="0"/>
        <v/>
      </c>
      <c r="M3" t="s">
        <v>386</v>
      </c>
      <c r="N3" t="s">
        <v>181</v>
      </c>
      <c r="O3">
        <v>2</v>
      </c>
      <c r="P3">
        <v>2</v>
      </c>
      <c r="Q3">
        <v>0</v>
      </c>
    </row>
    <row r="4" spans="1:17" x14ac:dyDescent="0.2">
      <c r="A4" t="s">
        <v>186</v>
      </c>
      <c r="B4" t="s">
        <v>186</v>
      </c>
      <c r="C4" t="str">
        <f>TRIM(LEFT(B4,FIND("|",B4)-1))</f>
        <v>Alpha-Alpha</v>
      </c>
      <c r="D4" t="s">
        <v>186</v>
      </c>
      <c r="E4" t="s">
        <v>387</v>
      </c>
      <c r="F4" t="s">
        <v>388</v>
      </c>
      <c r="G4" t="str">
        <f t="shared" si="0"/>
        <v>Telesto</v>
      </c>
      <c r="H4">
        <v>268694</v>
      </c>
      <c r="I4">
        <v>2023</v>
      </c>
      <c r="J4" s="20">
        <v>45061</v>
      </c>
      <c r="K4" s="20">
        <v>46142</v>
      </c>
      <c r="L4" t="s">
        <v>389</v>
      </c>
      <c r="M4" t="s">
        <v>390</v>
      </c>
      <c r="N4" t="s">
        <v>186</v>
      </c>
      <c r="O4">
        <v>0</v>
      </c>
      <c r="P4">
        <v>3</v>
      </c>
      <c r="Q4">
        <v>1</v>
      </c>
    </row>
    <row r="5" spans="1:17" x14ac:dyDescent="0.2">
      <c r="A5" t="s">
        <v>391</v>
      </c>
      <c r="B5" t="s">
        <v>391</v>
      </c>
      <c r="C5" t="s">
        <v>392</v>
      </c>
      <c r="D5" t="s">
        <v>391</v>
      </c>
      <c r="E5" t="s">
        <v>385</v>
      </c>
      <c r="G5" t="str">
        <f t="shared" si="0"/>
        <v/>
      </c>
      <c r="M5" t="s">
        <v>386</v>
      </c>
      <c r="N5" t="s">
        <v>391</v>
      </c>
      <c r="O5">
        <v>0</v>
      </c>
      <c r="P5">
        <v>1</v>
      </c>
      <c r="Q5">
        <v>0</v>
      </c>
    </row>
    <row r="6" spans="1:17" x14ac:dyDescent="0.2">
      <c r="A6" t="s">
        <v>196</v>
      </c>
      <c r="B6" t="s">
        <v>196</v>
      </c>
      <c r="C6" t="str">
        <f t="shared" ref="C6:C38" si="1">TRIM(LEFT(B6,FIND("|",B6)-1))</f>
        <v>Alpha-Beta</v>
      </c>
      <c r="D6" t="s">
        <v>196</v>
      </c>
      <c r="E6" t="s">
        <v>393</v>
      </c>
      <c r="F6" t="s">
        <v>394</v>
      </c>
      <c r="G6" t="str">
        <f t="shared" si="0"/>
        <v>Pandora</v>
      </c>
      <c r="H6">
        <v>177297</v>
      </c>
      <c r="I6">
        <v>2023</v>
      </c>
      <c r="J6" s="20">
        <v>44982</v>
      </c>
      <c r="K6" s="20">
        <v>46053</v>
      </c>
      <c r="L6" t="s">
        <v>395</v>
      </c>
      <c r="M6" t="s">
        <v>390</v>
      </c>
      <c r="N6" t="s">
        <v>196</v>
      </c>
      <c r="O6">
        <v>1</v>
      </c>
      <c r="P6">
        <v>2</v>
      </c>
      <c r="Q6">
        <v>3</v>
      </c>
    </row>
    <row r="7" spans="1:17" x14ac:dyDescent="0.2">
      <c r="A7" t="s">
        <v>191</v>
      </c>
      <c r="B7" t="s">
        <v>191</v>
      </c>
      <c r="C7" t="str">
        <f t="shared" si="1"/>
        <v>Alpha-Beta</v>
      </c>
      <c r="D7" t="s">
        <v>191</v>
      </c>
      <c r="E7" t="s">
        <v>387</v>
      </c>
      <c r="F7" t="s">
        <v>396</v>
      </c>
      <c r="G7" t="str">
        <f t="shared" si="0"/>
        <v>Triton</v>
      </c>
      <c r="H7">
        <v>125584</v>
      </c>
      <c r="I7">
        <v>2022</v>
      </c>
      <c r="J7" s="20">
        <v>44830</v>
      </c>
      <c r="K7" s="20">
        <v>45535</v>
      </c>
      <c r="L7" t="s">
        <v>397</v>
      </c>
      <c r="M7" t="s">
        <v>390</v>
      </c>
      <c r="N7" t="s">
        <v>191</v>
      </c>
      <c r="O7">
        <v>3</v>
      </c>
      <c r="P7">
        <v>2</v>
      </c>
      <c r="Q7">
        <v>2</v>
      </c>
    </row>
    <row r="8" spans="1:17" x14ac:dyDescent="0.2">
      <c r="A8" t="s">
        <v>221</v>
      </c>
      <c r="B8" t="s">
        <v>221</v>
      </c>
      <c r="C8" t="str">
        <f t="shared" si="1"/>
        <v>Alpha-Delta</v>
      </c>
      <c r="D8" t="s">
        <v>221</v>
      </c>
      <c r="E8" t="s">
        <v>398</v>
      </c>
      <c r="F8" t="s">
        <v>399</v>
      </c>
      <c r="G8" t="str">
        <f t="shared" si="0"/>
        <v>Enceladus</v>
      </c>
      <c r="H8">
        <v>187108</v>
      </c>
      <c r="I8">
        <v>2023</v>
      </c>
      <c r="J8" s="20">
        <v>45268</v>
      </c>
      <c r="K8" s="20">
        <v>46356</v>
      </c>
      <c r="L8" t="s">
        <v>400</v>
      </c>
      <c r="M8" t="s">
        <v>390</v>
      </c>
      <c r="N8" t="s">
        <v>221</v>
      </c>
      <c r="O8">
        <v>0</v>
      </c>
      <c r="P8">
        <v>0</v>
      </c>
      <c r="Q8">
        <v>3</v>
      </c>
    </row>
    <row r="9" spans="1:17" x14ac:dyDescent="0.2">
      <c r="A9" t="s">
        <v>216</v>
      </c>
      <c r="B9" t="s">
        <v>216</v>
      </c>
      <c r="C9" t="str">
        <f t="shared" si="1"/>
        <v>Alpha-Delta</v>
      </c>
      <c r="D9" t="s">
        <v>216</v>
      </c>
      <c r="E9" t="s">
        <v>385</v>
      </c>
      <c r="G9" t="str">
        <f t="shared" si="0"/>
        <v/>
      </c>
      <c r="M9" t="s">
        <v>386</v>
      </c>
      <c r="N9" t="s">
        <v>216</v>
      </c>
      <c r="O9">
        <v>2</v>
      </c>
      <c r="P9">
        <v>1</v>
      </c>
      <c r="Q9">
        <v>0</v>
      </c>
    </row>
    <row r="10" spans="1:17" x14ac:dyDescent="0.2">
      <c r="A10" t="s">
        <v>241</v>
      </c>
      <c r="B10" t="s">
        <v>241</v>
      </c>
      <c r="C10" t="str">
        <f t="shared" si="1"/>
        <v>Alpha-Epsilon</v>
      </c>
      <c r="D10" t="s">
        <v>241</v>
      </c>
      <c r="E10" t="s">
        <v>385</v>
      </c>
      <c r="G10" t="str">
        <f t="shared" si="0"/>
        <v/>
      </c>
      <c r="M10" t="s">
        <v>386</v>
      </c>
      <c r="N10" t="s">
        <v>241</v>
      </c>
      <c r="O10">
        <v>1</v>
      </c>
      <c r="P10">
        <v>2</v>
      </c>
      <c r="Q10">
        <v>2</v>
      </c>
    </row>
    <row r="11" spans="1:17" x14ac:dyDescent="0.2">
      <c r="A11" t="s">
        <v>256</v>
      </c>
      <c r="B11" t="s">
        <v>256</v>
      </c>
      <c r="C11" t="str">
        <f t="shared" si="1"/>
        <v>Alpha-Eta</v>
      </c>
      <c r="D11" t="s">
        <v>256</v>
      </c>
      <c r="E11" t="s">
        <v>385</v>
      </c>
      <c r="G11" t="str">
        <f t="shared" si="0"/>
        <v/>
      </c>
      <c r="M11" t="s">
        <v>386</v>
      </c>
      <c r="N11" t="s">
        <v>256</v>
      </c>
      <c r="O11">
        <v>1</v>
      </c>
      <c r="P11">
        <v>0</v>
      </c>
      <c r="Q11">
        <v>2</v>
      </c>
    </row>
    <row r="12" spans="1:17" x14ac:dyDescent="0.2">
      <c r="A12" t="s">
        <v>201</v>
      </c>
      <c r="B12" t="s">
        <v>201</v>
      </c>
      <c r="C12" t="str">
        <f t="shared" si="1"/>
        <v>Alpha-Gamma</v>
      </c>
      <c r="D12" t="s">
        <v>201</v>
      </c>
      <c r="E12" t="s">
        <v>393</v>
      </c>
      <c r="F12" t="s">
        <v>401</v>
      </c>
      <c r="G12" t="str">
        <f t="shared" si="0"/>
        <v>Amalthea</v>
      </c>
      <c r="H12">
        <v>154320</v>
      </c>
      <c r="I12">
        <v>2022</v>
      </c>
      <c r="J12" s="20">
        <v>44854</v>
      </c>
      <c r="K12" s="20">
        <v>45930</v>
      </c>
      <c r="L12" t="s">
        <v>402</v>
      </c>
      <c r="M12" t="s">
        <v>390</v>
      </c>
      <c r="N12" t="s">
        <v>201</v>
      </c>
      <c r="O12">
        <v>1</v>
      </c>
      <c r="P12">
        <v>0</v>
      </c>
      <c r="Q12">
        <v>3</v>
      </c>
    </row>
    <row r="13" spans="1:17" x14ac:dyDescent="0.2">
      <c r="A13" t="s">
        <v>403</v>
      </c>
      <c r="B13" t="s">
        <v>403</v>
      </c>
      <c r="C13" t="str">
        <f t="shared" si="1"/>
        <v>Alpha-Gamma</v>
      </c>
      <c r="D13" t="s">
        <v>403</v>
      </c>
      <c r="E13" t="s">
        <v>385</v>
      </c>
      <c r="G13" t="str">
        <f t="shared" si="0"/>
        <v/>
      </c>
      <c r="M13" t="s">
        <v>386</v>
      </c>
      <c r="N13" t="s">
        <v>403</v>
      </c>
      <c r="O13">
        <v>2</v>
      </c>
      <c r="P13">
        <v>0</v>
      </c>
      <c r="Q13">
        <v>2</v>
      </c>
    </row>
    <row r="14" spans="1:17" x14ac:dyDescent="0.2">
      <c r="A14" t="s">
        <v>266</v>
      </c>
      <c r="B14" t="s">
        <v>266</v>
      </c>
      <c r="C14" t="str">
        <f t="shared" si="1"/>
        <v>Alpha-Iota</v>
      </c>
      <c r="D14" t="s">
        <v>266</v>
      </c>
      <c r="E14" t="s">
        <v>387</v>
      </c>
      <c r="F14" t="s">
        <v>404</v>
      </c>
      <c r="G14" t="str">
        <f t="shared" si="0"/>
        <v>Ariel</v>
      </c>
      <c r="H14">
        <v>279799</v>
      </c>
      <c r="I14">
        <v>2023</v>
      </c>
      <c r="J14" s="20">
        <v>45097</v>
      </c>
      <c r="K14" s="20">
        <v>46173</v>
      </c>
      <c r="L14" t="s">
        <v>405</v>
      </c>
      <c r="M14" t="s">
        <v>390</v>
      </c>
      <c r="N14" t="s">
        <v>266</v>
      </c>
      <c r="O14">
        <v>2</v>
      </c>
      <c r="P14">
        <v>0</v>
      </c>
      <c r="Q14">
        <v>0</v>
      </c>
    </row>
    <row r="15" spans="1:17" x14ac:dyDescent="0.2">
      <c r="A15" t="s">
        <v>276</v>
      </c>
      <c r="B15" t="s">
        <v>276</v>
      </c>
      <c r="C15" t="str">
        <f t="shared" si="1"/>
        <v>Alpha-Iota</v>
      </c>
      <c r="D15" t="s">
        <v>276</v>
      </c>
      <c r="E15" t="s">
        <v>385</v>
      </c>
      <c r="G15" t="str">
        <f t="shared" si="0"/>
        <v/>
      </c>
      <c r="M15" t="s">
        <v>386</v>
      </c>
      <c r="N15" t="s">
        <v>276</v>
      </c>
      <c r="O15">
        <v>2</v>
      </c>
      <c r="P15">
        <v>1</v>
      </c>
      <c r="Q15">
        <v>1</v>
      </c>
    </row>
    <row r="16" spans="1:17" x14ac:dyDescent="0.2">
      <c r="A16" t="s">
        <v>271</v>
      </c>
      <c r="B16" t="s">
        <v>271</v>
      </c>
      <c r="C16" t="str">
        <f t="shared" si="1"/>
        <v>Alpha-Iota</v>
      </c>
      <c r="D16" t="s">
        <v>271</v>
      </c>
      <c r="E16" t="s">
        <v>398</v>
      </c>
      <c r="F16" t="s">
        <v>406</v>
      </c>
      <c r="G16" t="str">
        <f t="shared" si="0"/>
        <v>Hydra</v>
      </c>
      <c r="H16">
        <v>245125</v>
      </c>
      <c r="I16">
        <v>2023</v>
      </c>
      <c r="J16" s="20">
        <v>45232</v>
      </c>
      <c r="K16" s="20">
        <v>46326</v>
      </c>
      <c r="L16" t="s">
        <v>407</v>
      </c>
      <c r="M16" t="s">
        <v>390</v>
      </c>
      <c r="N16" t="s">
        <v>271</v>
      </c>
      <c r="O16">
        <v>0</v>
      </c>
      <c r="P16">
        <v>2</v>
      </c>
      <c r="Q16">
        <v>3</v>
      </c>
    </row>
    <row r="17" spans="1:17" x14ac:dyDescent="0.2">
      <c r="A17" t="s">
        <v>281</v>
      </c>
      <c r="B17" t="s">
        <v>281</v>
      </c>
      <c r="C17" t="str">
        <f t="shared" si="1"/>
        <v>Alpha-Iota</v>
      </c>
      <c r="D17" t="s">
        <v>281</v>
      </c>
      <c r="E17" t="s">
        <v>387</v>
      </c>
      <c r="F17" t="s">
        <v>408</v>
      </c>
      <c r="G17" t="str">
        <f t="shared" si="0"/>
        <v>Titan</v>
      </c>
      <c r="H17">
        <v>197651</v>
      </c>
      <c r="I17">
        <v>2024</v>
      </c>
      <c r="J17" s="20">
        <v>45421</v>
      </c>
      <c r="K17" s="20">
        <v>46507</v>
      </c>
      <c r="L17" t="s">
        <v>409</v>
      </c>
      <c r="M17" t="s">
        <v>390</v>
      </c>
      <c r="N17" t="s">
        <v>281</v>
      </c>
      <c r="O17">
        <v>3</v>
      </c>
      <c r="P17">
        <v>3</v>
      </c>
      <c r="Q17">
        <v>0</v>
      </c>
    </row>
    <row r="18" spans="1:17" x14ac:dyDescent="0.2">
      <c r="A18" t="s">
        <v>286</v>
      </c>
      <c r="B18" t="s">
        <v>286</v>
      </c>
      <c r="C18" t="str">
        <f t="shared" si="1"/>
        <v>Alpha-Kappa</v>
      </c>
      <c r="D18" t="s">
        <v>286</v>
      </c>
      <c r="E18" t="s">
        <v>398</v>
      </c>
      <c r="F18" t="s">
        <v>410</v>
      </c>
      <c r="G18" t="str">
        <f t="shared" si="0"/>
        <v>Elara</v>
      </c>
      <c r="H18">
        <v>105464</v>
      </c>
      <c r="I18">
        <v>2024</v>
      </c>
      <c r="J18" s="20">
        <v>45593</v>
      </c>
      <c r="K18" s="20">
        <v>46295</v>
      </c>
      <c r="L18" t="s">
        <v>411</v>
      </c>
      <c r="M18" t="s">
        <v>390</v>
      </c>
      <c r="N18" t="s">
        <v>286</v>
      </c>
      <c r="O18">
        <v>2</v>
      </c>
      <c r="P18">
        <v>1</v>
      </c>
      <c r="Q18">
        <v>2</v>
      </c>
    </row>
    <row r="19" spans="1:17" x14ac:dyDescent="0.2">
      <c r="A19" t="s">
        <v>291</v>
      </c>
      <c r="B19" t="s">
        <v>291</v>
      </c>
      <c r="C19" t="str">
        <f t="shared" si="1"/>
        <v>Alpha-Kappa</v>
      </c>
      <c r="D19" t="s">
        <v>291</v>
      </c>
      <c r="E19" t="s">
        <v>385</v>
      </c>
      <c r="G19" t="str">
        <f t="shared" si="0"/>
        <v/>
      </c>
      <c r="M19" t="s">
        <v>386</v>
      </c>
      <c r="N19" t="s">
        <v>291</v>
      </c>
      <c r="O19">
        <v>1</v>
      </c>
      <c r="P19">
        <v>0</v>
      </c>
      <c r="Q19">
        <v>1</v>
      </c>
    </row>
    <row r="20" spans="1:17" x14ac:dyDescent="0.2">
      <c r="A20" t="s">
        <v>301</v>
      </c>
      <c r="B20" t="s">
        <v>301</v>
      </c>
      <c r="C20" t="str">
        <f t="shared" si="1"/>
        <v>Alpha-Lambda</v>
      </c>
      <c r="D20" t="s">
        <v>301</v>
      </c>
      <c r="E20" t="s">
        <v>385</v>
      </c>
      <c r="G20" t="str">
        <f t="shared" si="0"/>
        <v/>
      </c>
      <c r="M20" t="s">
        <v>386</v>
      </c>
      <c r="N20" t="s">
        <v>301</v>
      </c>
      <c r="O20">
        <v>0</v>
      </c>
      <c r="P20">
        <v>0</v>
      </c>
      <c r="Q20">
        <v>0</v>
      </c>
    </row>
    <row r="21" spans="1:17" x14ac:dyDescent="0.2">
      <c r="A21" t="s">
        <v>296</v>
      </c>
      <c r="B21" t="s">
        <v>296</v>
      </c>
      <c r="C21" t="str">
        <f t="shared" si="1"/>
        <v>Alpha-Lambda</v>
      </c>
      <c r="D21" t="s">
        <v>296</v>
      </c>
      <c r="E21" t="s">
        <v>393</v>
      </c>
      <c r="F21" t="s">
        <v>412</v>
      </c>
      <c r="G21" t="str">
        <f t="shared" si="0"/>
        <v>Metis</v>
      </c>
      <c r="H21">
        <v>163384</v>
      </c>
      <c r="I21">
        <v>2022</v>
      </c>
      <c r="J21" s="20">
        <v>44714</v>
      </c>
      <c r="K21" s="20">
        <v>45808</v>
      </c>
      <c r="L21" t="s">
        <v>413</v>
      </c>
      <c r="M21" t="s">
        <v>390</v>
      </c>
      <c r="N21" t="s">
        <v>296</v>
      </c>
      <c r="O21">
        <v>1</v>
      </c>
      <c r="P21">
        <v>3</v>
      </c>
      <c r="Q21">
        <v>1</v>
      </c>
    </row>
    <row r="22" spans="1:17" x14ac:dyDescent="0.2">
      <c r="A22" t="s">
        <v>311</v>
      </c>
      <c r="B22" t="s">
        <v>311</v>
      </c>
      <c r="C22" t="str">
        <f t="shared" si="1"/>
        <v>Alpha-Mu</v>
      </c>
      <c r="D22" t="s">
        <v>311</v>
      </c>
      <c r="E22" t="s">
        <v>387</v>
      </c>
      <c r="F22" t="s">
        <v>414</v>
      </c>
      <c r="G22" t="str">
        <f t="shared" si="0"/>
        <v>Atlas</v>
      </c>
      <c r="H22">
        <v>288093</v>
      </c>
      <c r="I22">
        <v>2024</v>
      </c>
      <c r="J22" s="20">
        <v>45500</v>
      </c>
      <c r="K22" s="20">
        <v>46568</v>
      </c>
      <c r="L22" t="s">
        <v>405</v>
      </c>
      <c r="M22" t="s">
        <v>390</v>
      </c>
      <c r="N22" t="s">
        <v>311</v>
      </c>
      <c r="O22">
        <v>1</v>
      </c>
      <c r="P22">
        <v>0</v>
      </c>
      <c r="Q22">
        <v>3</v>
      </c>
    </row>
    <row r="23" spans="1:17" x14ac:dyDescent="0.2">
      <c r="A23" t="s">
        <v>306</v>
      </c>
      <c r="B23" t="s">
        <v>306</v>
      </c>
      <c r="C23" t="str">
        <f t="shared" si="1"/>
        <v>Alpha-Mu</v>
      </c>
      <c r="D23" t="s">
        <v>306</v>
      </c>
      <c r="E23" t="s">
        <v>385</v>
      </c>
      <c r="G23" t="str">
        <f t="shared" si="0"/>
        <v/>
      </c>
      <c r="M23" t="s">
        <v>386</v>
      </c>
      <c r="N23" t="s">
        <v>306</v>
      </c>
      <c r="O23">
        <v>0</v>
      </c>
      <c r="P23">
        <v>0</v>
      </c>
      <c r="Q23">
        <v>2</v>
      </c>
    </row>
    <row r="24" spans="1:17" x14ac:dyDescent="0.2">
      <c r="A24" t="s">
        <v>316</v>
      </c>
      <c r="B24" t="s">
        <v>316</v>
      </c>
      <c r="C24" t="str">
        <f t="shared" si="1"/>
        <v>Alpha-Nu</v>
      </c>
      <c r="D24" t="s">
        <v>316</v>
      </c>
      <c r="E24" t="s">
        <v>385</v>
      </c>
      <c r="G24" t="str">
        <f t="shared" si="0"/>
        <v/>
      </c>
      <c r="M24" t="s">
        <v>386</v>
      </c>
      <c r="N24" t="s">
        <v>316</v>
      </c>
      <c r="O24">
        <v>0</v>
      </c>
      <c r="P24">
        <v>0</v>
      </c>
      <c r="Q24">
        <v>2</v>
      </c>
    </row>
    <row r="25" spans="1:17" x14ac:dyDescent="0.2">
      <c r="A25" t="s">
        <v>331</v>
      </c>
      <c r="B25" t="s">
        <v>331</v>
      </c>
      <c r="C25" t="str">
        <f t="shared" si="1"/>
        <v>Alpha-Omicron</v>
      </c>
      <c r="D25" t="s">
        <v>331</v>
      </c>
      <c r="E25" t="s">
        <v>385</v>
      </c>
      <c r="G25" t="str">
        <f t="shared" si="0"/>
        <v/>
      </c>
      <c r="M25" t="s">
        <v>386</v>
      </c>
      <c r="N25" t="s">
        <v>331</v>
      </c>
      <c r="O25">
        <v>1</v>
      </c>
      <c r="P25">
        <v>0</v>
      </c>
      <c r="Q25">
        <v>0</v>
      </c>
    </row>
    <row r="26" spans="1:17" x14ac:dyDescent="0.2">
      <c r="A26" t="s">
        <v>326</v>
      </c>
      <c r="B26" t="s">
        <v>326</v>
      </c>
      <c r="C26" t="str">
        <f t="shared" si="1"/>
        <v>Alpha-Omicron</v>
      </c>
      <c r="D26" t="s">
        <v>326</v>
      </c>
      <c r="E26" t="s">
        <v>387</v>
      </c>
      <c r="F26" t="s">
        <v>415</v>
      </c>
      <c r="G26" t="str">
        <f t="shared" si="0"/>
        <v>Sinope</v>
      </c>
      <c r="H26">
        <v>174566</v>
      </c>
      <c r="I26">
        <v>2023</v>
      </c>
      <c r="J26" s="20">
        <v>44929</v>
      </c>
      <c r="K26" s="20">
        <v>46022</v>
      </c>
      <c r="L26" t="s">
        <v>416</v>
      </c>
      <c r="M26" t="s">
        <v>390</v>
      </c>
      <c r="N26" t="s">
        <v>326</v>
      </c>
      <c r="O26">
        <v>3</v>
      </c>
      <c r="P26">
        <v>1</v>
      </c>
      <c r="Q26">
        <v>0</v>
      </c>
    </row>
    <row r="27" spans="1:17" x14ac:dyDescent="0.2">
      <c r="A27" t="s">
        <v>366</v>
      </c>
      <c r="B27" t="s">
        <v>366</v>
      </c>
      <c r="C27" t="str">
        <f t="shared" si="1"/>
        <v>Alpha-Phi</v>
      </c>
      <c r="D27" t="s">
        <v>366</v>
      </c>
      <c r="E27" t="s">
        <v>385</v>
      </c>
      <c r="G27" t="str">
        <f t="shared" si="0"/>
        <v/>
      </c>
      <c r="M27" t="s">
        <v>386</v>
      </c>
      <c r="N27" t="s">
        <v>366</v>
      </c>
      <c r="O27">
        <v>0</v>
      </c>
      <c r="P27">
        <v>1</v>
      </c>
      <c r="Q27">
        <v>0</v>
      </c>
    </row>
    <row r="28" spans="1:17" x14ac:dyDescent="0.2">
      <c r="A28" t="s">
        <v>336</v>
      </c>
      <c r="B28" t="s">
        <v>336</v>
      </c>
      <c r="C28" t="str">
        <f t="shared" si="1"/>
        <v>Alpha-Pi</v>
      </c>
      <c r="D28" t="s">
        <v>336</v>
      </c>
      <c r="E28" t="s">
        <v>385</v>
      </c>
      <c r="G28" t="str">
        <f t="shared" si="0"/>
        <v/>
      </c>
      <c r="M28" t="s">
        <v>386</v>
      </c>
      <c r="N28" t="s">
        <v>336</v>
      </c>
      <c r="O28">
        <v>2</v>
      </c>
      <c r="P28">
        <v>2</v>
      </c>
      <c r="Q28">
        <v>2</v>
      </c>
    </row>
    <row r="29" spans="1:17" x14ac:dyDescent="0.2">
      <c r="A29" t="s">
        <v>346</v>
      </c>
      <c r="B29" t="s">
        <v>346</v>
      </c>
      <c r="C29" t="str">
        <f t="shared" si="1"/>
        <v>Alpha-Rho</v>
      </c>
      <c r="D29" t="s">
        <v>346</v>
      </c>
      <c r="E29" t="s">
        <v>387</v>
      </c>
      <c r="F29" t="s">
        <v>417</v>
      </c>
      <c r="G29" t="str">
        <f t="shared" si="0"/>
        <v>Deimos</v>
      </c>
      <c r="H29">
        <v>245009</v>
      </c>
      <c r="I29">
        <v>2022</v>
      </c>
      <c r="J29" s="20">
        <v>44885</v>
      </c>
      <c r="K29" s="20">
        <v>45961</v>
      </c>
      <c r="L29" t="s">
        <v>397</v>
      </c>
      <c r="M29" t="s">
        <v>390</v>
      </c>
      <c r="N29" t="s">
        <v>346</v>
      </c>
      <c r="O29">
        <v>2</v>
      </c>
      <c r="P29">
        <v>3</v>
      </c>
      <c r="Q29">
        <v>0</v>
      </c>
    </row>
    <row r="30" spans="1:17" x14ac:dyDescent="0.2">
      <c r="A30" t="s">
        <v>341</v>
      </c>
      <c r="B30" t="s">
        <v>341</v>
      </c>
      <c r="C30" t="str">
        <f t="shared" si="1"/>
        <v>Alpha-Rho</v>
      </c>
      <c r="D30" t="s">
        <v>341</v>
      </c>
      <c r="E30" t="s">
        <v>385</v>
      </c>
      <c r="G30" t="str">
        <f t="shared" si="0"/>
        <v/>
      </c>
      <c r="M30" t="s">
        <v>386</v>
      </c>
      <c r="N30" t="s">
        <v>341</v>
      </c>
      <c r="O30">
        <v>2</v>
      </c>
      <c r="P30">
        <v>0</v>
      </c>
      <c r="Q30">
        <v>1</v>
      </c>
    </row>
    <row r="31" spans="1:17" x14ac:dyDescent="0.2">
      <c r="A31" t="s">
        <v>351</v>
      </c>
      <c r="B31" t="s">
        <v>351</v>
      </c>
      <c r="C31" t="str">
        <f t="shared" si="1"/>
        <v>Alpha-Sigma</v>
      </c>
      <c r="D31" t="s">
        <v>351</v>
      </c>
      <c r="E31" t="s">
        <v>385</v>
      </c>
      <c r="G31" t="str">
        <f t="shared" si="0"/>
        <v/>
      </c>
      <c r="M31" t="s">
        <v>386</v>
      </c>
      <c r="N31" t="s">
        <v>351</v>
      </c>
      <c r="O31">
        <v>0</v>
      </c>
      <c r="P31">
        <v>2</v>
      </c>
      <c r="Q31">
        <v>1</v>
      </c>
    </row>
    <row r="32" spans="1:17" x14ac:dyDescent="0.2">
      <c r="A32" t="s">
        <v>356</v>
      </c>
      <c r="B32" t="s">
        <v>356</v>
      </c>
      <c r="C32" t="str">
        <f t="shared" si="1"/>
        <v>Alpha-Tau</v>
      </c>
      <c r="D32" t="s">
        <v>356</v>
      </c>
      <c r="E32" t="s">
        <v>385</v>
      </c>
      <c r="G32" t="str">
        <f t="shared" si="0"/>
        <v/>
      </c>
      <c r="M32" t="s">
        <v>386</v>
      </c>
      <c r="N32" t="s">
        <v>356</v>
      </c>
      <c r="O32">
        <v>1</v>
      </c>
      <c r="P32">
        <v>0</v>
      </c>
      <c r="Q32">
        <v>2</v>
      </c>
    </row>
    <row r="33" spans="1:17" x14ac:dyDescent="0.2">
      <c r="A33" t="s">
        <v>418</v>
      </c>
      <c r="B33" t="s">
        <v>418</v>
      </c>
      <c r="C33" t="str">
        <f t="shared" si="1"/>
        <v>Alpha-Theta</v>
      </c>
      <c r="D33" t="s">
        <v>418</v>
      </c>
      <c r="E33" t="s">
        <v>385</v>
      </c>
      <c r="G33" t="str">
        <f t="shared" si="0"/>
        <v/>
      </c>
      <c r="M33" t="s">
        <v>386</v>
      </c>
      <c r="N33" t="s">
        <v>418</v>
      </c>
      <c r="O33">
        <v>0</v>
      </c>
      <c r="P33">
        <v>1</v>
      </c>
      <c r="Q33">
        <v>2</v>
      </c>
    </row>
    <row r="34" spans="1:17" x14ac:dyDescent="0.2">
      <c r="A34" t="s">
        <v>261</v>
      </c>
      <c r="B34" t="s">
        <v>261</v>
      </c>
      <c r="C34" t="str">
        <f t="shared" si="1"/>
        <v>Alpha-Theta</v>
      </c>
      <c r="D34" t="s">
        <v>261</v>
      </c>
      <c r="E34" t="s">
        <v>393</v>
      </c>
      <c r="F34" t="s">
        <v>419</v>
      </c>
      <c r="G34" t="str">
        <f t="shared" ref="G34:G65" si="2">IF(E34="Unrestricted","",TRIM(RIGHT(A34,LEN(A34)-FIND("|",A34))))</f>
        <v>Nereid</v>
      </c>
      <c r="H34">
        <v>287834</v>
      </c>
      <c r="I34">
        <v>2024</v>
      </c>
      <c r="J34" s="20">
        <v>45400</v>
      </c>
      <c r="K34" s="20">
        <v>46477</v>
      </c>
      <c r="L34" t="s">
        <v>389</v>
      </c>
      <c r="M34" t="s">
        <v>390</v>
      </c>
      <c r="N34" t="s">
        <v>261</v>
      </c>
      <c r="O34">
        <v>2</v>
      </c>
      <c r="P34">
        <v>0</v>
      </c>
      <c r="Q34">
        <v>1</v>
      </c>
    </row>
    <row r="35" spans="1:17" x14ac:dyDescent="0.2">
      <c r="A35" t="s">
        <v>420</v>
      </c>
      <c r="B35" t="s">
        <v>420</v>
      </c>
      <c r="C35" t="str">
        <f t="shared" si="1"/>
        <v>Alpha-Upsilon</v>
      </c>
      <c r="D35" t="s">
        <v>420</v>
      </c>
      <c r="E35" t="s">
        <v>385</v>
      </c>
      <c r="G35" t="str">
        <f t="shared" si="2"/>
        <v/>
      </c>
      <c r="M35" t="s">
        <v>386</v>
      </c>
      <c r="N35" t="s">
        <v>420</v>
      </c>
      <c r="O35">
        <v>0</v>
      </c>
      <c r="P35">
        <v>2</v>
      </c>
      <c r="Q35">
        <v>2</v>
      </c>
    </row>
    <row r="36" spans="1:17" x14ac:dyDescent="0.2">
      <c r="A36" t="s">
        <v>361</v>
      </c>
      <c r="B36" t="s">
        <v>361</v>
      </c>
      <c r="C36" t="str">
        <f t="shared" si="1"/>
        <v>Alpha-Upsilon</v>
      </c>
      <c r="D36" t="s">
        <v>361</v>
      </c>
      <c r="E36" t="s">
        <v>387</v>
      </c>
      <c r="F36" t="s">
        <v>421</v>
      </c>
      <c r="G36" t="str">
        <f t="shared" si="2"/>
        <v>Nix</v>
      </c>
      <c r="H36">
        <v>261267</v>
      </c>
      <c r="I36">
        <v>2022</v>
      </c>
      <c r="J36" s="20">
        <v>44713</v>
      </c>
      <c r="K36" s="20">
        <v>45808</v>
      </c>
      <c r="L36" t="s">
        <v>400</v>
      </c>
      <c r="M36" t="s">
        <v>390</v>
      </c>
      <c r="N36" t="s">
        <v>361</v>
      </c>
      <c r="O36">
        <v>2</v>
      </c>
      <c r="P36">
        <v>1</v>
      </c>
      <c r="Q36">
        <v>2</v>
      </c>
    </row>
    <row r="37" spans="1:17" x14ac:dyDescent="0.2">
      <c r="A37" t="s">
        <v>321</v>
      </c>
      <c r="B37" t="s">
        <v>321</v>
      </c>
      <c r="C37" t="str">
        <f t="shared" si="1"/>
        <v>Alpha-Xi</v>
      </c>
      <c r="D37" t="s">
        <v>321</v>
      </c>
      <c r="E37" t="s">
        <v>385</v>
      </c>
      <c r="G37" t="str">
        <f t="shared" si="2"/>
        <v/>
      </c>
      <c r="M37" t="s">
        <v>386</v>
      </c>
      <c r="N37" t="s">
        <v>321</v>
      </c>
      <c r="O37">
        <v>0</v>
      </c>
      <c r="P37">
        <v>2</v>
      </c>
      <c r="Q37">
        <v>2</v>
      </c>
    </row>
    <row r="38" spans="1:17" x14ac:dyDescent="0.2">
      <c r="A38" t="s">
        <v>251</v>
      </c>
      <c r="B38" t="s">
        <v>251</v>
      </c>
      <c r="C38" t="str">
        <f t="shared" si="1"/>
        <v>Alpha-Zeta</v>
      </c>
      <c r="D38" t="s">
        <v>251</v>
      </c>
      <c r="E38" t="s">
        <v>385</v>
      </c>
      <c r="G38" t="str">
        <f t="shared" si="2"/>
        <v/>
      </c>
      <c r="M38" t="s">
        <v>386</v>
      </c>
      <c r="N38" t="s">
        <v>251</v>
      </c>
      <c r="O38">
        <v>2</v>
      </c>
      <c r="P38">
        <v>2</v>
      </c>
      <c r="Q38">
        <v>1</v>
      </c>
    </row>
    <row r="39" spans="1:17" x14ac:dyDescent="0.2">
      <c r="A39" t="s">
        <v>206</v>
      </c>
      <c r="B39" t="s">
        <v>206</v>
      </c>
      <c r="C39" t="s">
        <v>3</v>
      </c>
      <c r="D39" t="s">
        <v>206</v>
      </c>
      <c r="E39" t="s">
        <v>393</v>
      </c>
      <c r="F39" t="s">
        <v>422</v>
      </c>
      <c r="G39" t="str">
        <f t="shared" si="2"/>
        <v>Ananke</v>
      </c>
      <c r="H39" s="15">
        <v>105081</v>
      </c>
      <c r="I39">
        <v>2022</v>
      </c>
      <c r="J39" s="20">
        <v>44822</v>
      </c>
      <c r="K39" s="20">
        <v>45535</v>
      </c>
      <c r="L39" t="s">
        <v>400</v>
      </c>
      <c r="M39" t="s">
        <v>390</v>
      </c>
      <c r="N39" t="s">
        <v>206</v>
      </c>
      <c r="O39" s="6">
        <v>1</v>
      </c>
      <c r="P39" s="6">
        <v>2</v>
      </c>
      <c r="Q39" s="6">
        <v>0</v>
      </c>
    </row>
    <row r="40" spans="1:17" x14ac:dyDescent="0.2">
      <c r="A40" t="s">
        <v>206</v>
      </c>
      <c r="B40" t="s">
        <v>206</v>
      </c>
      <c r="C40" t="str">
        <f>TRIM(LEFT(B40,FIND("|",B40)-1))</f>
        <v>Beta</v>
      </c>
      <c r="D40" t="s">
        <v>206</v>
      </c>
      <c r="E40" t="s">
        <v>387</v>
      </c>
      <c r="F40" t="s">
        <v>423</v>
      </c>
      <c r="G40" t="str">
        <f t="shared" si="2"/>
        <v>Ananke</v>
      </c>
      <c r="H40">
        <v>181226</v>
      </c>
      <c r="I40">
        <v>2024</v>
      </c>
      <c r="J40" s="20">
        <v>45424</v>
      </c>
      <c r="K40" s="20">
        <v>46507</v>
      </c>
      <c r="L40" t="s">
        <v>416</v>
      </c>
      <c r="M40" t="s">
        <v>390</v>
      </c>
      <c r="N40" t="s">
        <v>206</v>
      </c>
      <c r="O40">
        <v>0</v>
      </c>
      <c r="P40">
        <v>2</v>
      </c>
      <c r="Q40">
        <v>2</v>
      </c>
    </row>
    <row r="41" spans="1:17" x14ac:dyDescent="0.2">
      <c r="A41" t="s">
        <v>211</v>
      </c>
      <c r="B41" t="s">
        <v>211</v>
      </c>
      <c r="C41" t="s">
        <v>3</v>
      </c>
      <c r="D41" t="s">
        <v>211</v>
      </c>
      <c r="E41" t="s">
        <v>387</v>
      </c>
      <c r="F41" t="s">
        <v>424</v>
      </c>
      <c r="G41" t="str">
        <f t="shared" si="2"/>
        <v>Carme</v>
      </c>
      <c r="H41" s="15">
        <v>257627</v>
      </c>
      <c r="I41">
        <v>2024</v>
      </c>
      <c r="J41" s="20">
        <v>45330</v>
      </c>
      <c r="K41" s="20">
        <v>46418</v>
      </c>
      <c r="L41" t="s">
        <v>425</v>
      </c>
      <c r="M41" t="s">
        <v>390</v>
      </c>
      <c r="N41" t="s">
        <v>211</v>
      </c>
      <c r="O41" s="6">
        <v>2</v>
      </c>
      <c r="P41" s="6">
        <v>2</v>
      </c>
      <c r="Q41" s="6">
        <v>0</v>
      </c>
    </row>
    <row r="42" spans="1:17" x14ac:dyDescent="0.2">
      <c r="A42" t="s">
        <v>211</v>
      </c>
      <c r="B42" t="s">
        <v>211</v>
      </c>
      <c r="C42" t="str">
        <f>TRIM(LEFT(B42,FIND("|",B42)-1))</f>
        <v>Beta</v>
      </c>
      <c r="D42" t="s">
        <v>211</v>
      </c>
      <c r="E42" t="s">
        <v>393</v>
      </c>
      <c r="F42" t="s">
        <v>426</v>
      </c>
      <c r="G42" t="str">
        <f t="shared" si="2"/>
        <v>Carme</v>
      </c>
      <c r="H42">
        <v>151151</v>
      </c>
      <c r="I42">
        <v>2022</v>
      </c>
      <c r="J42" s="20">
        <v>44682</v>
      </c>
      <c r="K42" s="20">
        <v>45777</v>
      </c>
      <c r="L42" t="s">
        <v>427</v>
      </c>
      <c r="M42" t="s">
        <v>390</v>
      </c>
      <c r="N42" t="s">
        <v>211</v>
      </c>
      <c r="O42">
        <v>3</v>
      </c>
      <c r="P42">
        <v>3</v>
      </c>
      <c r="Q42">
        <v>2</v>
      </c>
    </row>
    <row r="43" spans="1:17" x14ac:dyDescent="0.2">
      <c r="A43" t="s">
        <v>428</v>
      </c>
      <c r="B43" t="s">
        <v>428</v>
      </c>
      <c r="C43" t="s">
        <v>3</v>
      </c>
      <c r="D43" t="s">
        <v>428</v>
      </c>
      <c r="E43" t="s">
        <v>385</v>
      </c>
      <c r="G43" t="str">
        <f t="shared" si="2"/>
        <v/>
      </c>
      <c r="M43" t="s">
        <v>386</v>
      </c>
      <c r="N43" t="s">
        <v>428</v>
      </c>
      <c r="O43" s="13">
        <v>1</v>
      </c>
      <c r="P43">
        <v>0</v>
      </c>
      <c r="Q43">
        <v>2</v>
      </c>
    </row>
    <row r="44" spans="1:17" x14ac:dyDescent="0.2">
      <c r="A44" t="s">
        <v>429</v>
      </c>
      <c r="B44" t="s">
        <v>429</v>
      </c>
      <c r="C44" t="s">
        <v>3</v>
      </c>
      <c r="D44" t="s">
        <v>429</v>
      </c>
      <c r="E44" t="s">
        <v>393</v>
      </c>
      <c r="F44" t="s">
        <v>430</v>
      </c>
      <c r="G44" t="str">
        <f t="shared" si="2"/>
        <v>Pasiphae</v>
      </c>
      <c r="H44" s="15">
        <v>292153</v>
      </c>
      <c r="I44">
        <v>2022</v>
      </c>
      <c r="J44" s="20">
        <v>44887</v>
      </c>
      <c r="K44" s="20">
        <v>45961</v>
      </c>
      <c r="L44" t="s">
        <v>425</v>
      </c>
      <c r="M44" t="s">
        <v>390</v>
      </c>
      <c r="N44" t="s">
        <v>429</v>
      </c>
      <c r="O44" s="6">
        <v>0</v>
      </c>
      <c r="P44" s="6">
        <v>1</v>
      </c>
      <c r="Q44" s="6">
        <v>3</v>
      </c>
    </row>
    <row r="45" spans="1:17" x14ac:dyDescent="0.2">
      <c r="A45" t="s">
        <v>136</v>
      </c>
      <c r="B45" t="s">
        <v>136</v>
      </c>
      <c r="C45" t="str">
        <f>TRIM(LEFT(B45,FIND("|",B45)-1))</f>
        <v>Chi</v>
      </c>
      <c r="D45" t="s">
        <v>136</v>
      </c>
      <c r="E45" t="s">
        <v>385</v>
      </c>
      <c r="G45" t="str">
        <f t="shared" si="2"/>
        <v/>
      </c>
      <c r="M45" t="s">
        <v>386</v>
      </c>
      <c r="N45" t="s">
        <v>136</v>
      </c>
      <c r="O45">
        <v>1</v>
      </c>
      <c r="P45">
        <v>1</v>
      </c>
      <c r="Q45">
        <v>1</v>
      </c>
    </row>
    <row r="46" spans="1:17" x14ac:dyDescent="0.2">
      <c r="A46" t="s">
        <v>141</v>
      </c>
      <c r="B46" t="s">
        <v>141</v>
      </c>
      <c r="C46" t="str">
        <f>TRIM(LEFT(B46,FIND("|",B46)-1))</f>
        <v>Chi</v>
      </c>
      <c r="D46" t="s">
        <v>141</v>
      </c>
      <c r="E46" t="s">
        <v>393</v>
      </c>
      <c r="F46" t="s">
        <v>431</v>
      </c>
      <c r="G46" t="str">
        <f t="shared" si="2"/>
        <v>Himalia</v>
      </c>
      <c r="H46">
        <v>101213</v>
      </c>
      <c r="I46">
        <v>2022</v>
      </c>
      <c r="J46" s="20">
        <v>44614</v>
      </c>
      <c r="K46" s="20">
        <v>45322</v>
      </c>
      <c r="L46" t="s">
        <v>425</v>
      </c>
      <c r="M46" t="s">
        <v>390</v>
      </c>
      <c r="N46" t="s">
        <v>141</v>
      </c>
      <c r="O46">
        <v>2</v>
      </c>
      <c r="P46">
        <v>1</v>
      </c>
      <c r="Q46">
        <v>1</v>
      </c>
    </row>
    <row r="47" spans="1:17" x14ac:dyDescent="0.2">
      <c r="A47" t="s">
        <v>432</v>
      </c>
      <c r="B47" t="s">
        <v>432</v>
      </c>
      <c r="C47" t="s">
        <v>7</v>
      </c>
      <c r="D47" t="s">
        <v>432</v>
      </c>
      <c r="E47" t="s">
        <v>385</v>
      </c>
      <c r="G47" t="str">
        <f t="shared" si="2"/>
        <v/>
      </c>
      <c r="M47" t="s">
        <v>386</v>
      </c>
      <c r="N47" t="s">
        <v>432</v>
      </c>
      <c r="O47" s="13">
        <v>2</v>
      </c>
      <c r="P47">
        <v>2</v>
      </c>
      <c r="Q47">
        <v>2</v>
      </c>
    </row>
    <row r="48" spans="1:17" x14ac:dyDescent="0.2">
      <c r="A48" t="s">
        <v>433</v>
      </c>
      <c r="B48" t="s">
        <v>433</v>
      </c>
      <c r="C48" t="s">
        <v>0</v>
      </c>
      <c r="D48" t="s">
        <v>433</v>
      </c>
      <c r="E48" t="s">
        <v>385</v>
      </c>
      <c r="G48" t="str">
        <f t="shared" si="2"/>
        <v/>
      </c>
      <c r="M48" t="s">
        <v>386</v>
      </c>
      <c r="N48" t="s">
        <v>433</v>
      </c>
      <c r="O48" s="13">
        <v>0</v>
      </c>
      <c r="P48" s="13">
        <v>0</v>
      </c>
      <c r="Q48" s="13">
        <v>2</v>
      </c>
    </row>
    <row r="49" spans="1:17" x14ac:dyDescent="0.2">
      <c r="A49" t="s">
        <v>434</v>
      </c>
      <c r="B49" t="s">
        <v>434</v>
      </c>
      <c r="C49" s="1" t="s">
        <v>0</v>
      </c>
      <c r="D49" t="s">
        <v>434</v>
      </c>
      <c r="E49" s="1" t="s">
        <v>398</v>
      </c>
      <c r="F49" s="1" t="s">
        <v>435</v>
      </c>
      <c r="G49" t="str">
        <f t="shared" si="2"/>
        <v>Io</v>
      </c>
      <c r="H49" s="16">
        <v>281691</v>
      </c>
      <c r="I49">
        <v>2023</v>
      </c>
      <c r="J49" s="20">
        <v>45282</v>
      </c>
      <c r="K49" s="20">
        <v>46356</v>
      </c>
      <c r="L49" s="1" t="s">
        <v>409</v>
      </c>
      <c r="M49" t="s">
        <v>390</v>
      </c>
      <c r="N49" t="s">
        <v>434</v>
      </c>
      <c r="O49" s="13">
        <v>3</v>
      </c>
      <c r="P49" s="13">
        <v>1</v>
      </c>
      <c r="Q49" s="13">
        <v>2</v>
      </c>
    </row>
    <row r="50" spans="1:17" x14ac:dyDescent="0.2">
      <c r="A50" t="s">
        <v>436</v>
      </c>
      <c r="B50" t="s">
        <v>437</v>
      </c>
      <c r="C50" t="s">
        <v>0</v>
      </c>
      <c r="D50" t="s">
        <v>436</v>
      </c>
      <c r="E50" t="s">
        <v>387</v>
      </c>
      <c r="F50" t="s">
        <v>438</v>
      </c>
      <c r="G50" t="str">
        <f t="shared" si="2"/>
        <v>Europa</v>
      </c>
      <c r="H50" s="15">
        <v>254222</v>
      </c>
      <c r="I50">
        <v>2022</v>
      </c>
      <c r="J50" s="20">
        <v>44568</v>
      </c>
      <c r="K50" s="20">
        <v>45657</v>
      </c>
      <c r="L50" t="s">
        <v>400</v>
      </c>
      <c r="M50" t="s">
        <v>390</v>
      </c>
      <c r="N50" t="s">
        <v>436</v>
      </c>
      <c r="O50" s="6">
        <v>1</v>
      </c>
      <c r="P50" s="6">
        <v>0</v>
      </c>
      <c r="Q50" s="6">
        <v>1</v>
      </c>
    </row>
    <row r="51" spans="1:17" x14ac:dyDescent="0.2">
      <c r="A51" t="s">
        <v>231</v>
      </c>
      <c r="B51" t="s">
        <v>231</v>
      </c>
      <c r="C51" t="s">
        <v>4</v>
      </c>
      <c r="D51" t="s">
        <v>231</v>
      </c>
      <c r="E51" t="s">
        <v>385</v>
      </c>
      <c r="G51" t="str">
        <f t="shared" si="2"/>
        <v/>
      </c>
      <c r="M51" t="s">
        <v>386</v>
      </c>
      <c r="N51" t="s">
        <v>231</v>
      </c>
      <c r="O51" s="13">
        <v>0</v>
      </c>
      <c r="P51">
        <v>2</v>
      </c>
      <c r="Q51">
        <v>2</v>
      </c>
    </row>
    <row r="52" spans="1:17" x14ac:dyDescent="0.2">
      <c r="A52" t="s">
        <v>231</v>
      </c>
      <c r="B52" t="s">
        <v>231</v>
      </c>
      <c r="C52" t="str">
        <f>TRIM(LEFT(B52,FIND("|",B52)-1))</f>
        <v>Eta</v>
      </c>
      <c r="D52" t="s">
        <v>231</v>
      </c>
      <c r="E52" t="s">
        <v>385</v>
      </c>
      <c r="G52" t="str">
        <f t="shared" si="2"/>
        <v/>
      </c>
      <c r="M52" t="s">
        <v>386</v>
      </c>
      <c r="N52" t="s">
        <v>231</v>
      </c>
      <c r="O52">
        <v>1</v>
      </c>
      <c r="P52">
        <v>2</v>
      </c>
      <c r="Q52">
        <v>1</v>
      </c>
    </row>
    <row r="53" spans="1:17" x14ac:dyDescent="0.2">
      <c r="A53" t="s">
        <v>226</v>
      </c>
      <c r="B53" t="s">
        <v>226</v>
      </c>
      <c r="C53" t="s">
        <v>4</v>
      </c>
      <c r="D53" t="s">
        <v>226</v>
      </c>
      <c r="E53" t="s">
        <v>398</v>
      </c>
      <c r="F53" t="s">
        <v>439</v>
      </c>
      <c r="G53" t="str">
        <f t="shared" si="2"/>
        <v>Thebe</v>
      </c>
      <c r="H53">
        <v>290637</v>
      </c>
      <c r="I53">
        <v>2024</v>
      </c>
      <c r="J53" s="20">
        <v>45368</v>
      </c>
      <c r="K53" s="20">
        <v>46446</v>
      </c>
      <c r="L53" t="s">
        <v>407</v>
      </c>
      <c r="M53" t="s">
        <v>390</v>
      </c>
      <c r="N53" t="s">
        <v>226</v>
      </c>
      <c r="O53" s="13">
        <v>2</v>
      </c>
      <c r="P53">
        <v>0</v>
      </c>
      <c r="Q53">
        <v>1</v>
      </c>
    </row>
    <row r="54" spans="1:17" x14ac:dyDescent="0.2">
      <c r="A54" t="s">
        <v>226</v>
      </c>
      <c r="B54" t="s">
        <v>226</v>
      </c>
      <c r="C54" t="str">
        <f>TRIM(LEFT(B54,FIND("|",B54)-1))</f>
        <v>Eta</v>
      </c>
      <c r="D54" t="s">
        <v>226</v>
      </c>
      <c r="E54" t="s">
        <v>393</v>
      </c>
      <c r="F54" t="s">
        <v>440</v>
      </c>
      <c r="G54" t="str">
        <f t="shared" si="2"/>
        <v>Thebe</v>
      </c>
      <c r="H54">
        <v>173413</v>
      </c>
      <c r="I54">
        <v>2023</v>
      </c>
      <c r="J54" s="20">
        <v>45120</v>
      </c>
      <c r="K54" s="20">
        <v>46203</v>
      </c>
      <c r="L54" t="s">
        <v>441</v>
      </c>
      <c r="M54" t="s">
        <v>390</v>
      </c>
      <c r="N54" t="s">
        <v>226</v>
      </c>
      <c r="O54">
        <v>1</v>
      </c>
      <c r="P54">
        <v>3</v>
      </c>
      <c r="Q54">
        <v>2</v>
      </c>
    </row>
    <row r="55" spans="1:17" x14ac:dyDescent="0.2">
      <c r="A55" t="s">
        <v>236</v>
      </c>
      <c r="B55" t="s">
        <v>236</v>
      </c>
      <c r="C55" t="s">
        <v>5</v>
      </c>
      <c r="D55" t="s">
        <v>236</v>
      </c>
      <c r="E55" t="s">
        <v>385</v>
      </c>
      <c r="G55" t="str">
        <f t="shared" si="2"/>
        <v/>
      </c>
      <c r="M55" t="s">
        <v>386</v>
      </c>
      <c r="N55" t="s">
        <v>236</v>
      </c>
      <c r="O55" s="13">
        <v>2</v>
      </c>
      <c r="P55">
        <v>2</v>
      </c>
      <c r="Q55">
        <v>1</v>
      </c>
    </row>
    <row r="56" spans="1:17" x14ac:dyDescent="0.2">
      <c r="A56" t="s">
        <v>236</v>
      </c>
      <c r="B56" t="s">
        <v>236</v>
      </c>
      <c r="C56" t="str">
        <f>TRIM(LEFT(B56,FIND("|",B56)-1))</f>
        <v>Gamma</v>
      </c>
      <c r="D56" t="s">
        <v>236</v>
      </c>
      <c r="E56" t="s">
        <v>385</v>
      </c>
      <c r="G56" t="str">
        <f t="shared" si="2"/>
        <v/>
      </c>
      <c r="M56" t="s">
        <v>386</v>
      </c>
      <c r="N56" t="s">
        <v>236</v>
      </c>
      <c r="O56">
        <v>2</v>
      </c>
      <c r="P56">
        <v>0</v>
      </c>
      <c r="Q56">
        <v>0</v>
      </c>
    </row>
    <row r="57" spans="1:17" x14ac:dyDescent="0.2">
      <c r="A57" t="s">
        <v>442</v>
      </c>
      <c r="B57" t="s">
        <v>442</v>
      </c>
      <c r="C57" t="s">
        <v>443</v>
      </c>
      <c r="D57" t="s">
        <v>442</v>
      </c>
      <c r="E57" t="s">
        <v>385</v>
      </c>
      <c r="G57" t="str">
        <f t="shared" si="2"/>
        <v/>
      </c>
      <c r="M57" t="s">
        <v>386</v>
      </c>
      <c r="N57" t="s">
        <v>442</v>
      </c>
      <c r="O57">
        <v>0</v>
      </c>
      <c r="P57">
        <v>1</v>
      </c>
      <c r="Q57">
        <v>0</v>
      </c>
    </row>
    <row r="58" spans="1:17" x14ac:dyDescent="0.2">
      <c r="A58" t="s">
        <v>66</v>
      </c>
      <c r="B58" t="s">
        <v>66</v>
      </c>
      <c r="C58" t="str">
        <f t="shared" ref="C58:C66" si="3">TRIM(LEFT(B58,FIND("|",B58)-1))</f>
        <v>Iota</v>
      </c>
      <c r="D58" t="s">
        <v>66</v>
      </c>
      <c r="E58" t="s">
        <v>398</v>
      </c>
      <c r="F58" t="s">
        <v>444</v>
      </c>
      <c r="G58" t="str">
        <f t="shared" si="2"/>
        <v>Rhea</v>
      </c>
      <c r="H58">
        <v>111347</v>
      </c>
      <c r="I58">
        <v>2024</v>
      </c>
      <c r="J58" s="20">
        <v>45470</v>
      </c>
      <c r="K58" s="20">
        <v>46173</v>
      </c>
      <c r="L58" t="s">
        <v>416</v>
      </c>
      <c r="M58" t="s">
        <v>390</v>
      </c>
      <c r="N58" t="s">
        <v>66</v>
      </c>
      <c r="O58">
        <v>1</v>
      </c>
      <c r="P58">
        <v>1</v>
      </c>
      <c r="Q58">
        <v>3</v>
      </c>
    </row>
    <row r="59" spans="1:17" x14ac:dyDescent="0.2">
      <c r="A59" t="s">
        <v>71</v>
      </c>
      <c r="B59" t="s">
        <v>71</v>
      </c>
      <c r="C59" t="str">
        <f t="shared" si="3"/>
        <v>Kappa</v>
      </c>
      <c r="D59" t="s">
        <v>71</v>
      </c>
      <c r="E59" t="s">
        <v>385</v>
      </c>
      <c r="G59" t="str">
        <f t="shared" si="2"/>
        <v/>
      </c>
      <c r="M59" t="s">
        <v>386</v>
      </c>
      <c r="N59" t="s">
        <v>71</v>
      </c>
      <c r="O59">
        <v>2</v>
      </c>
      <c r="P59">
        <v>0</v>
      </c>
      <c r="Q59">
        <v>2</v>
      </c>
    </row>
    <row r="60" spans="1:17" x14ac:dyDescent="0.2">
      <c r="A60" t="s">
        <v>76</v>
      </c>
      <c r="B60" t="s">
        <v>76</v>
      </c>
      <c r="C60" t="str">
        <f t="shared" si="3"/>
        <v>Lambda</v>
      </c>
      <c r="D60" t="s">
        <v>76</v>
      </c>
      <c r="E60" t="s">
        <v>385</v>
      </c>
      <c r="G60" t="str">
        <f t="shared" si="2"/>
        <v/>
      </c>
      <c r="M60" t="s">
        <v>386</v>
      </c>
      <c r="N60" t="s">
        <v>76</v>
      </c>
      <c r="O60">
        <v>1</v>
      </c>
      <c r="P60">
        <v>0</v>
      </c>
      <c r="Q60">
        <v>0</v>
      </c>
    </row>
    <row r="61" spans="1:17" x14ac:dyDescent="0.2">
      <c r="A61" t="s">
        <v>81</v>
      </c>
      <c r="B61" t="s">
        <v>81</v>
      </c>
      <c r="C61" t="str">
        <f t="shared" si="3"/>
        <v>Mu</v>
      </c>
      <c r="D61" t="s">
        <v>81</v>
      </c>
      <c r="E61" t="s">
        <v>385</v>
      </c>
      <c r="G61" t="str">
        <f t="shared" si="2"/>
        <v/>
      </c>
      <c r="M61" t="s">
        <v>386</v>
      </c>
      <c r="N61" t="s">
        <v>81</v>
      </c>
      <c r="O61">
        <v>2</v>
      </c>
      <c r="P61">
        <v>2</v>
      </c>
      <c r="Q61">
        <v>1</v>
      </c>
    </row>
    <row r="62" spans="1:17" x14ac:dyDescent="0.2">
      <c r="A62" t="s">
        <v>86</v>
      </c>
      <c r="B62" t="s">
        <v>86</v>
      </c>
      <c r="C62" t="str">
        <f t="shared" si="3"/>
        <v>Nu</v>
      </c>
      <c r="D62" t="s">
        <v>86</v>
      </c>
      <c r="E62" t="s">
        <v>385</v>
      </c>
      <c r="G62" t="str">
        <f t="shared" si="2"/>
        <v/>
      </c>
      <c r="M62" t="s">
        <v>386</v>
      </c>
      <c r="N62" t="s">
        <v>86</v>
      </c>
      <c r="O62">
        <v>0</v>
      </c>
      <c r="P62">
        <v>0</v>
      </c>
      <c r="Q62">
        <v>2</v>
      </c>
    </row>
    <row r="63" spans="1:17" x14ac:dyDescent="0.2">
      <c r="A63" t="s">
        <v>176</v>
      </c>
      <c r="B63" t="s">
        <v>176</v>
      </c>
      <c r="C63" t="str">
        <f t="shared" si="3"/>
        <v>Omega</v>
      </c>
      <c r="D63" t="s">
        <v>176</v>
      </c>
      <c r="E63" t="s">
        <v>398</v>
      </c>
      <c r="F63" t="s">
        <v>445</v>
      </c>
      <c r="G63" t="str">
        <f t="shared" si="2"/>
        <v>Calypso</v>
      </c>
      <c r="H63">
        <v>291525</v>
      </c>
      <c r="I63">
        <v>2022</v>
      </c>
      <c r="J63" s="20">
        <v>44801</v>
      </c>
      <c r="K63" s="20">
        <v>45869</v>
      </c>
      <c r="L63" t="s">
        <v>446</v>
      </c>
      <c r="M63" t="s">
        <v>390</v>
      </c>
      <c r="N63" t="s">
        <v>176</v>
      </c>
      <c r="O63">
        <v>3</v>
      </c>
      <c r="P63">
        <v>2</v>
      </c>
      <c r="Q63">
        <v>1</v>
      </c>
    </row>
    <row r="64" spans="1:17" x14ac:dyDescent="0.2">
      <c r="A64" t="s">
        <v>166</v>
      </c>
      <c r="B64" t="s">
        <v>166</v>
      </c>
      <c r="C64" t="str">
        <f t="shared" si="3"/>
        <v>Omega</v>
      </c>
      <c r="D64" t="s">
        <v>166</v>
      </c>
      <c r="E64" t="s">
        <v>385</v>
      </c>
      <c r="G64" t="str">
        <f t="shared" si="2"/>
        <v/>
      </c>
      <c r="M64" t="s">
        <v>386</v>
      </c>
      <c r="N64" t="s">
        <v>166</v>
      </c>
      <c r="O64">
        <v>0</v>
      </c>
      <c r="P64">
        <v>2</v>
      </c>
      <c r="Q64">
        <v>0</v>
      </c>
    </row>
    <row r="65" spans="1:17" x14ac:dyDescent="0.2">
      <c r="A65" t="s">
        <v>171</v>
      </c>
      <c r="B65" t="s">
        <v>171</v>
      </c>
      <c r="C65" t="str">
        <f t="shared" si="3"/>
        <v>Omega</v>
      </c>
      <c r="D65" t="s">
        <v>171</v>
      </c>
      <c r="E65" t="s">
        <v>393</v>
      </c>
      <c r="F65" t="s">
        <v>447</v>
      </c>
      <c r="G65" t="str">
        <f t="shared" si="2"/>
        <v>Leda</v>
      </c>
      <c r="H65">
        <v>265032</v>
      </c>
      <c r="I65">
        <v>2024</v>
      </c>
      <c r="J65" s="20">
        <v>45361</v>
      </c>
      <c r="K65" s="20">
        <v>46446</v>
      </c>
      <c r="L65" t="s">
        <v>389</v>
      </c>
      <c r="M65" t="s">
        <v>390</v>
      </c>
      <c r="N65" t="s">
        <v>171</v>
      </c>
      <c r="O65">
        <v>1</v>
      </c>
      <c r="P65">
        <v>3</v>
      </c>
      <c r="Q65">
        <v>3</v>
      </c>
    </row>
    <row r="66" spans="1:17" x14ac:dyDescent="0.2">
      <c r="A66" t="s">
        <v>96</v>
      </c>
      <c r="B66" t="s">
        <v>96</v>
      </c>
      <c r="C66" t="str">
        <f t="shared" si="3"/>
        <v>Omicron</v>
      </c>
      <c r="D66" t="s">
        <v>96</v>
      </c>
      <c r="E66" t="s">
        <v>385</v>
      </c>
      <c r="G66" t="str">
        <f t="shared" ref="G66:G86" si="4">IF(E66="Unrestricted","",TRIM(RIGHT(A66,LEN(A66)-FIND("|",A66))))</f>
        <v/>
      </c>
      <c r="M66" t="s">
        <v>386</v>
      </c>
      <c r="N66" t="s">
        <v>96</v>
      </c>
      <c r="O66">
        <v>2</v>
      </c>
      <c r="P66">
        <v>0</v>
      </c>
      <c r="Q66">
        <v>2</v>
      </c>
    </row>
    <row r="67" spans="1:17" x14ac:dyDescent="0.2">
      <c r="A67" t="s">
        <v>448</v>
      </c>
      <c r="B67" t="s">
        <v>448</v>
      </c>
      <c r="C67" t="s">
        <v>449</v>
      </c>
      <c r="D67" t="s">
        <v>448</v>
      </c>
      <c r="E67" t="s">
        <v>385</v>
      </c>
      <c r="G67" t="str">
        <f t="shared" si="4"/>
        <v/>
      </c>
      <c r="M67" t="s">
        <v>386</v>
      </c>
      <c r="N67" t="s">
        <v>448</v>
      </c>
      <c r="O67">
        <v>0</v>
      </c>
      <c r="P67">
        <v>0</v>
      </c>
      <c r="Q67">
        <v>0</v>
      </c>
    </row>
    <row r="68" spans="1:17" x14ac:dyDescent="0.2">
      <c r="A68" t="s">
        <v>131</v>
      </c>
      <c r="B68" t="s">
        <v>131</v>
      </c>
      <c r="C68" t="str">
        <f t="shared" ref="C68:C75" si="5">TRIM(LEFT(B68,FIND("|",B68)-1))</f>
        <v>Phi</v>
      </c>
      <c r="D68" t="s">
        <v>131</v>
      </c>
      <c r="E68" t="s">
        <v>398</v>
      </c>
      <c r="F68" t="s">
        <v>450</v>
      </c>
      <c r="G68" t="str">
        <f t="shared" si="4"/>
        <v>Umbriel</v>
      </c>
      <c r="H68">
        <v>152664</v>
      </c>
      <c r="I68">
        <v>2023</v>
      </c>
      <c r="J68" s="20">
        <v>45047</v>
      </c>
      <c r="K68" s="20">
        <v>46142</v>
      </c>
      <c r="L68" t="s">
        <v>446</v>
      </c>
      <c r="M68" t="s">
        <v>390</v>
      </c>
      <c r="N68" t="s">
        <v>131</v>
      </c>
      <c r="O68">
        <v>0</v>
      </c>
      <c r="P68">
        <v>0</v>
      </c>
      <c r="Q68">
        <v>0</v>
      </c>
    </row>
    <row r="69" spans="1:17" x14ac:dyDescent="0.2">
      <c r="A69" t="s">
        <v>101</v>
      </c>
      <c r="B69" t="s">
        <v>101</v>
      </c>
      <c r="C69" t="str">
        <f t="shared" si="5"/>
        <v>Pi</v>
      </c>
      <c r="D69" t="s">
        <v>101</v>
      </c>
      <c r="E69" t="s">
        <v>385</v>
      </c>
      <c r="G69" t="str">
        <f t="shared" si="4"/>
        <v/>
      </c>
      <c r="M69" t="s">
        <v>386</v>
      </c>
      <c r="N69" t="s">
        <v>101</v>
      </c>
      <c r="O69">
        <v>0</v>
      </c>
      <c r="P69">
        <v>2</v>
      </c>
      <c r="Q69">
        <v>1</v>
      </c>
    </row>
    <row r="70" spans="1:17" x14ac:dyDescent="0.2">
      <c r="A70" t="s">
        <v>106</v>
      </c>
      <c r="B70" t="s">
        <v>106</v>
      </c>
      <c r="C70" t="str">
        <f t="shared" si="5"/>
        <v>Pi</v>
      </c>
      <c r="D70" t="s">
        <v>106</v>
      </c>
      <c r="E70" t="s">
        <v>398</v>
      </c>
      <c r="F70" t="s">
        <v>451</v>
      </c>
      <c r="G70" t="str">
        <f t="shared" si="4"/>
        <v>Janus</v>
      </c>
      <c r="H70">
        <v>293709</v>
      </c>
      <c r="I70">
        <v>2022</v>
      </c>
      <c r="J70" s="20">
        <v>44901</v>
      </c>
      <c r="K70" s="20">
        <v>45991</v>
      </c>
      <c r="L70" t="s">
        <v>441</v>
      </c>
      <c r="M70" t="s">
        <v>390</v>
      </c>
      <c r="N70" t="s">
        <v>106</v>
      </c>
      <c r="O70">
        <v>1</v>
      </c>
      <c r="P70">
        <v>1</v>
      </c>
      <c r="Q70">
        <v>3</v>
      </c>
    </row>
    <row r="71" spans="1:17" x14ac:dyDescent="0.2">
      <c r="A71" t="s">
        <v>151</v>
      </c>
      <c r="B71" t="s">
        <v>151</v>
      </c>
      <c r="C71" t="str">
        <f t="shared" si="5"/>
        <v>Psi</v>
      </c>
      <c r="D71" t="s">
        <v>151</v>
      </c>
      <c r="E71" t="s">
        <v>385</v>
      </c>
      <c r="G71" t="str">
        <f t="shared" si="4"/>
        <v/>
      </c>
      <c r="M71" t="s">
        <v>386</v>
      </c>
      <c r="N71" t="s">
        <v>151</v>
      </c>
      <c r="O71">
        <v>1</v>
      </c>
      <c r="P71">
        <v>1</v>
      </c>
      <c r="Q71">
        <v>2</v>
      </c>
    </row>
    <row r="72" spans="1:17" x14ac:dyDescent="0.2">
      <c r="A72" t="s">
        <v>146</v>
      </c>
      <c r="B72" t="s">
        <v>146</v>
      </c>
      <c r="C72" t="str">
        <f t="shared" si="5"/>
        <v>Psi</v>
      </c>
      <c r="D72" t="s">
        <v>146</v>
      </c>
      <c r="E72" t="s">
        <v>393</v>
      </c>
      <c r="F72" t="s">
        <v>452</v>
      </c>
      <c r="G72" t="str">
        <f t="shared" si="4"/>
        <v>Phobos</v>
      </c>
      <c r="H72">
        <v>220246</v>
      </c>
      <c r="I72">
        <v>2022</v>
      </c>
      <c r="J72" s="20">
        <v>44568</v>
      </c>
      <c r="K72" s="20">
        <v>45657</v>
      </c>
      <c r="L72" t="s">
        <v>427</v>
      </c>
      <c r="M72" t="s">
        <v>390</v>
      </c>
      <c r="N72" t="s">
        <v>146</v>
      </c>
      <c r="O72">
        <v>3</v>
      </c>
      <c r="P72">
        <v>2</v>
      </c>
      <c r="Q72">
        <v>2</v>
      </c>
    </row>
    <row r="73" spans="1:17" x14ac:dyDescent="0.2">
      <c r="A73" t="s">
        <v>111</v>
      </c>
      <c r="B73" t="s">
        <v>111</v>
      </c>
      <c r="C73" t="str">
        <f t="shared" si="5"/>
        <v>Rho</v>
      </c>
      <c r="D73" t="s">
        <v>111</v>
      </c>
      <c r="E73" t="s">
        <v>385</v>
      </c>
      <c r="G73" t="str">
        <f t="shared" si="4"/>
        <v/>
      </c>
      <c r="M73" t="s">
        <v>386</v>
      </c>
      <c r="N73" t="s">
        <v>111</v>
      </c>
      <c r="O73">
        <v>1</v>
      </c>
      <c r="P73">
        <v>1</v>
      </c>
      <c r="Q73">
        <v>0</v>
      </c>
    </row>
    <row r="74" spans="1:17" x14ac:dyDescent="0.2">
      <c r="A74" t="s">
        <v>116</v>
      </c>
      <c r="B74" t="s">
        <v>116</v>
      </c>
      <c r="C74" t="str">
        <f t="shared" si="5"/>
        <v>Sigma</v>
      </c>
      <c r="D74" t="s">
        <v>116</v>
      </c>
      <c r="E74" t="s">
        <v>385</v>
      </c>
      <c r="G74" t="str">
        <f t="shared" si="4"/>
        <v/>
      </c>
      <c r="M74" t="s">
        <v>386</v>
      </c>
      <c r="N74" t="s">
        <v>116</v>
      </c>
      <c r="O74">
        <v>2</v>
      </c>
      <c r="P74">
        <v>1</v>
      </c>
      <c r="Q74">
        <v>0</v>
      </c>
    </row>
    <row r="75" spans="1:17" x14ac:dyDescent="0.2">
      <c r="A75" t="s">
        <v>121</v>
      </c>
      <c r="B75" t="s">
        <v>121</v>
      </c>
      <c r="C75" t="str">
        <f t="shared" si="5"/>
        <v>Tau</v>
      </c>
      <c r="D75" t="s">
        <v>121</v>
      </c>
      <c r="E75" t="s">
        <v>385</v>
      </c>
      <c r="G75" t="str">
        <f t="shared" si="4"/>
        <v/>
      </c>
      <c r="M75" t="s">
        <v>386</v>
      </c>
      <c r="N75" t="s">
        <v>121</v>
      </c>
      <c r="O75">
        <v>0</v>
      </c>
      <c r="P75">
        <v>0</v>
      </c>
      <c r="Q75">
        <v>2</v>
      </c>
    </row>
    <row r="76" spans="1:17" x14ac:dyDescent="0.2">
      <c r="A76" t="s">
        <v>246</v>
      </c>
      <c r="B76" t="s">
        <v>246</v>
      </c>
      <c r="C76" t="s">
        <v>6</v>
      </c>
      <c r="D76" t="s">
        <v>246</v>
      </c>
      <c r="E76" t="s">
        <v>385</v>
      </c>
      <c r="G76" t="str">
        <f t="shared" si="4"/>
        <v/>
      </c>
      <c r="M76" t="s">
        <v>386</v>
      </c>
      <c r="N76" t="s">
        <v>246</v>
      </c>
      <c r="O76" s="13">
        <v>1</v>
      </c>
      <c r="P76">
        <v>2</v>
      </c>
      <c r="Q76">
        <v>1</v>
      </c>
    </row>
    <row r="77" spans="1:17" x14ac:dyDescent="0.2">
      <c r="A77" t="s">
        <v>246</v>
      </c>
      <c r="B77" t="s">
        <v>246</v>
      </c>
      <c r="C77" t="str">
        <f>TRIM(LEFT(B77,FIND("|",B77)-1))</f>
        <v>Theta</v>
      </c>
      <c r="D77" t="s">
        <v>246</v>
      </c>
      <c r="E77" t="s">
        <v>385</v>
      </c>
      <c r="G77" t="str">
        <f t="shared" si="4"/>
        <v/>
      </c>
      <c r="M77" t="s">
        <v>386</v>
      </c>
      <c r="N77" t="s">
        <v>246</v>
      </c>
      <c r="O77">
        <v>2</v>
      </c>
      <c r="P77">
        <v>0</v>
      </c>
      <c r="Q77">
        <v>0</v>
      </c>
    </row>
    <row r="78" spans="1:17" x14ac:dyDescent="0.2">
      <c r="A78" t="s">
        <v>126</v>
      </c>
      <c r="B78" t="s">
        <v>126</v>
      </c>
      <c r="C78" t="str">
        <f>TRIM(LEFT(B78,FIND("|",B78)-1))</f>
        <v>Upsilon</v>
      </c>
      <c r="D78" t="s">
        <v>126</v>
      </c>
      <c r="E78" t="s">
        <v>385</v>
      </c>
      <c r="G78" t="str">
        <f t="shared" si="4"/>
        <v/>
      </c>
      <c r="M78" t="s">
        <v>386</v>
      </c>
      <c r="N78" t="s">
        <v>126</v>
      </c>
      <c r="O78">
        <v>1</v>
      </c>
      <c r="P78">
        <v>2</v>
      </c>
      <c r="Q78">
        <v>2</v>
      </c>
    </row>
    <row r="79" spans="1:17" x14ac:dyDescent="0.2">
      <c r="A79" t="s">
        <v>91</v>
      </c>
      <c r="B79" t="s">
        <v>91</v>
      </c>
      <c r="C79" t="str">
        <f>TRIM(LEFT(B79,FIND("|",B79)-1))</f>
        <v>Xi</v>
      </c>
      <c r="D79" t="s">
        <v>91</v>
      </c>
      <c r="E79" t="s">
        <v>385</v>
      </c>
      <c r="G79" t="str">
        <f t="shared" si="4"/>
        <v/>
      </c>
      <c r="M79" t="s">
        <v>386</v>
      </c>
      <c r="N79" t="s">
        <v>91</v>
      </c>
      <c r="O79">
        <v>1</v>
      </c>
      <c r="P79">
        <v>2</v>
      </c>
      <c r="Q79">
        <v>0</v>
      </c>
    </row>
    <row r="80" spans="1:17" x14ac:dyDescent="0.2">
      <c r="A80" t="s">
        <v>453</v>
      </c>
      <c r="B80" t="s">
        <v>453</v>
      </c>
      <c r="C80" t="s">
        <v>2</v>
      </c>
      <c r="D80" t="s">
        <v>453</v>
      </c>
      <c r="E80" t="s">
        <v>387</v>
      </c>
      <c r="F80" t="s">
        <v>454</v>
      </c>
      <c r="G80" t="str">
        <f t="shared" si="4"/>
        <v>Amalthea</v>
      </c>
      <c r="H80" s="15">
        <v>188042</v>
      </c>
      <c r="I80">
        <v>2023</v>
      </c>
      <c r="J80" s="20">
        <v>45034</v>
      </c>
      <c r="K80" s="20">
        <v>46112</v>
      </c>
      <c r="L80" t="s">
        <v>402</v>
      </c>
      <c r="M80" t="s">
        <v>390</v>
      </c>
      <c r="N80" t="s">
        <v>453</v>
      </c>
      <c r="O80" s="6">
        <v>3</v>
      </c>
      <c r="P80" s="6">
        <v>1</v>
      </c>
      <c r="Q80" s="6">
        <v>2</v>
      </c>
    </row>
    <row r="81" spans="1:17" x14ac:dyDescent="0.2">
      <c r="A81" t="s">
        <v>455</v>
      </c>
      <c r="B81" t="s">
        <v>455</v>
      </c>
      <c r="C81" t="s">
        <v>2</v>
      </c>
      <c r="D81" t="s">
        <v>455</v>
      </c>
      <c r="E81" t="s">
        <v>387</v>
      </c>
      <c r="F81" t="s">
        <v>456</v>
      </c>
      <c r="G81" t="str">
        <f t="shared" si="4"/>
        <v>Callisto</v>
      </c>
      <c r="H81" s="15">
        <v>206226</v>
      </c>
      <c r="I81">
        <v>2023</v>
      </c>
      <c r="J81" s="20">
        <v>45022</v>
      </c>
      <c r="K81" s="20">
        <v>46112</v>
      </c>
      <c r="L81" t="s">
        <v>441</v>
      </c>
      <c r="M81" t="s">
        <v>390</v>
      </c>
      <c r="N81" t="s">
        <v>455</v>
      </c>
      <c r="O81" s="6">
        <v>1</v>
      </c>
      <c r="P81" s="6">
        <v>3</v>
      </c>
      <c r="Q81" s="6">
        <v>0</v>
      </c>
    </row>
    <row r="82" spans="1:17" x14ac:dyDescent="0.2">
      <c r="A82" t="s">
        <v>156</v>
      </c>
      <c r="B82" s="1" t="s">
        <v>156</v>
      </c>
      <c r="C82" s="1" t="s">
        <v>2</v>
      </c>
      <c r="D82" t="s">
        <v>156</v>
      </c>
      <c r="E82" s="1" t="s">
        <v>387</v>
      </c>
      <c r="F82" s="1" t="s">
        <v>457</v>
      </c>
      <c r="G82" t="str">
        <f t="shared" si="4"/>
        <v>Ganymede</v>
      </c>
      <c r="H82" s="16">
        <v>152819</v>
      </c>
      <c r="I82">
        <v>2024</v>
      </c>
      <c r="J82" s="20">
        <v>45574</v>
      </c>
      <c r="K82" s="20">
        <v>46660</v>
      </c>
      <c r="L82" s="1" t="s">
        <v>413</v>
      </c>
      <c r="M82" t="s">
        <v>390</v>
      </c>
      <c r="N82" t="s">
        <v>156</v>
      </c>
      <c r="O82" s="19">
        <v>3</v>
      </c>
      <c r="P82" s="19">
        <v>0</v>
      </c>
      <c r="Q82" s="19">
        <v>3</v>
      </c>
    </row>
    <row r="83" spans="1:17" x14ac:dyDescent="0.2">
      <c r="A83" t="s">
        <v>156</v>
      </c>
      <c r="B83" t="s">
        <v>156</v>
      </c>
      <c r="C83" t="str">
        <f>TRIM(LEFT(B83,FIND("|",B83)-1))</f>
        <v>Zeta</v>
      </c>
      <c r="D83" t="s">
        <v>156</v>
      </c>
      <c r="E83" t="s">
        <v>387</v>
      </c>
      <c r="F83" t="s">
        <v>458</v>
      </c>
      <c r="G83" t="str">
        <f t="shared" si="4"/>
        <v>Ganymede</v>
      </c>
      <c r="H83">
        <v>192499</v>
      </c>
      <c r="I83">
        <v>2022</v>
      </c>
      <c r="J83" s="20">
        <v>44840</v>
      </c>
      <c r="K83" s="20">
        <v>45930</v>
      </c>
      <c r="L83" t="s">
        <v>441</v>
      </c>
      <c r="M83" t="s">
        <v>390</v>
      </c>
      <c r="N83" t="s">
        <v>156</v>
      </c>
      <c r="O83">
        <v>3</v>
      </c>
      <c r="P83">
        <v>2</v>
      </c>
      <c r="Q83">
        <v>2</v>
      </c>
    </row>
    <row r="84" spans="1:17" x14ac:dyDescent="0.2">
      <c r="A84" t="s">
        <v>459</v>
      </c>
      <c r="B84" t="s">
        <v>161</v>
      </c>
      <c r="C84" t="s">
        <v>2</v>
      </c>
      <c r="D84" t="s">
        <v>459</v>
      </c>
      <c r="E84" t="s">
        <v>393</v>
      </c>
      <c r="F84" t="s">
        <v>460</v>
      </c>
      <c r="G84" t="str">
        <f t="shared" si="4"/>
        <v>Elara</v>
      </c>
      <c r="H84">
        <v>202464</v>
      </c>
      <c r="I84">
        <v>2023</v>
      </c>
      <c r="J84" s="20">
        <v>44982</v>
      </c>
      <c r="K84" s="20">
        <v>46053</v>
      </c>
      <c r="L84" t="s">
        <v>427</v>
      </c>
      <c r="M84" t="s">
        <v>386</v>
      </c>
      <c r="N84" t="s">
        <v>459</v>
      </c>
      <c r="O84">
        <v>2</v>
      </c>
      <c r="P84">
        <v>2</v>
      </c>
      <c r="Q84">
        <v>1</v>
      </c>
    </row>
    <row r="85" spans="1:17" x14ac:dyDescent="0.2">
      <c r="A85" t="s">
        <v>161</v>
      </c>
      <c r="B85" t="s">
        <v>161</v>
      </c>
      <c r="C85" t="str">
        <f>TRIM(LEFT(B85,FIND("|",B85)-1))</f>
        <v>Zeta</v>
      </c>
      <c r="D85" t="s">
        <v>161</v>
      </c>
      <c r="E85" t="s">
        <v>385</v>
      </c>
      <c r="G85" t="str">
        <f t="shared" si="4"/>
        <v/>
      </c>
      <c r="M85" t="s">
        <v>386</v>
      </c>
      <c r="N85" t="s">
        <v>161</v>
      </c>
      <c r="O85">
        <v>2</v>
      </c>
      <c r="P85">
        <v>2</v>
      </c>
      <c r="Q85">
        <v>1</v>
      </c>
    </row>
    <row r="86" spans="1:17" x14ac:dyDescent="0.2">
      <c r="A86" t="s">
        <v>461</v>
      </c>
      <c r="B86" t="s">
        <v>461</v>
      </c>
      <c r="C86" t="s">
        <v>2</v>
      </c>
      <c r="D86" t="s">
        <v>461</v>
      </c>
      <c r="E86" t="s">
        <v>387</v>
      </c>
      <c r="F86" t="s">
        <v>462</v>
      </c>
      <c r="G86" t="str">
        <f t="shared" si="4"/>
        <v>Himalia</v>
      </c>
      <c r="H86" s="15">
        <v>284071</v>
      </c>
      <c r="I86">
        <v>2022</v>
      </c>
      <c r="J86" s="20">
        <v>44731</v>
      </c>
      <c r="K86" s="20">
        <v>45808</v>
      </c>
      <c r="L86" t="s">
        <v>402</v>
      </c>
      <c r="M86" t="s">
        <v>390</v>
      </c>
      <c r="N86" t="s">
        <v>461</v>
      </c>
      <c r="O86" s="6">
        <v>3</v>
      </c>
      <c r="P86" s="6">
        <v>1</v>
      </c>
      <c r="Q86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Funding 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Savelli</dc:creator>
  <cp:keywords/>
  <dc:description/>
  <cp:lastModifiedBy>Michael Savelli</cp:lastModifiedBy>
  <dcterms:modified xsi:type="dcterms:W3CDTF">2026-07-19T08:35:15Z</dcterms:modified>
  <cp:category/>
</cp:coreProperties>
</file>